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lefonia Raul\Experticias\Revisar\Comisario Jaimes\rr\"/>
    </mc:Choice>
  </mc:AlternateContent>
  <bookViews>
    <workbookView xWindow="240" yWindow="15" windowWidth="16095" windowHeight="9660" activeTab="4"/>
  </bookViews>
  <sheets>
    <sheet name="VOZ2" sheetId="1" r:id="rId1"/>
    <sheet name="VOZ" sheetId="8" r:id="rId2"/>
    <sheet name="IBM" sheetId="5" r:id="rId3"/>
    <sheet name="Hoja5" sheetId="7" r:id="rId4"/>
    <sheet name="Hoja8" sheetId="10" r:id="rId5"/>
    <sheet name="Hoja7" sheetId="9" r:id="rId6"/>
    <sheet name="FTD" sheetId="6" r:id="rId7"/>
    <sheet name="SMS" sheetId="2" r:id="rId8"/>
  </sheets>
  <calcPr calcId="152511"/>
  <pivotCaches>
    <pivotCache cacheId="40" r:id="rId9"/>
  </pivotCaches>
</workbook>
</file>

<file path=xl/calcChain.xml><?xml version="1.0" encoding="utf-8"?>
<calcChain xmlns="http://schemas.openxmlformats.org/spreadsheetml/2006/main">
  <c r="H81" i="8" l="1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</calcChain>
</file>

<file path=xl/sharedStrings.xml><?xml version="1.0" encoding="utf-8"?>
<sst xmlns="http://schemas.openxmlformats.org/spreadsheetml/2006/main" count="3236" uniqueCount="261">
  <si>
    <t>SAR/SCXM</t>
  </si>
  <si>
    <t>Información reporte de VOZ</t>
  </si>
  <si>
    <t>Número de reporte</t>
  </si>
  <si>
    <t>Fecha de reporte</t>
  </si>
  <si>
    <t>22/01/2026</t>
  </si>
  <si>
    <t>Oficio</t>
  </si>
  <si>
    <t>0271-0062</t>
  </si>
  <si>
    <t>Elemento solicitado</t>
  </si>
  <si>
    <t>Telefono: 4245088512</t>
  </si>
  <si>
    <t>Fecha de solicitud</t>
  </si>
  <si>
    <t>Rango de fechas</t>
  </si>
  <si>
    <t>03/01/2025 00:00:00 - 21/01/2026 23:59:00</t>
  </si>
  <si>
    <t>Total de incidencias</t>
  </si>
  <si>
    <t>Listado de resultados</t>
  </si>
  <si>
    <t>4128990551</t>
  </si>
  <si>
    <t>4245088512</t>
  </si>
  <si>
    <t>06/01/2025</t>
  </si>
  <si>
    <t>15:07:22</t>
  </si>
  <si>
    <t>59</t>
  </si>
  <si>
    <t>LLAMADA</t>
  </si>
  <si>
    <t>ENTRANTE</t>
  </si>
  <si>
    <t>0</t>
  </si>
  <si>
    <t xml:space="preserve">1140 -  - </t>
  </si>
  <si>
    <t>0.0</t>
  </si>
  <si>
    <t>35867510074311</t>
  </si>
  <si>
    <t>734046800349069</t>
  </si>
  <si>
    <t>11443431 - EL_TOSTAO_II - AVENIDA FLORENCIO JIMENEZ. AUTOPISTA BARQUISIMETO-QUIBOR. DISTRIBUIDOR SAN FRANCISCO. REFERENCIA TALLER COVERE DE LARA KILOMETRO 7. CIUDAD BARQUISIMETO. PARROQUIA JUAN DE VILLEGAS. MUNICIPIO IRIBARREN.</t>
  </si>
  <si>
    <t>10.04325</t>
  </si>
  <si>
    <t>-69.425833</t>
  </si>
  <si>
    <t>DGTEL</t>
  </si>
  <si>
    <t>1872</t>
  </si>
  <si>
    <t>4245109750</t>
  </si>
  <si>
    <t>18:35:11</t>
  </si>
  <si>
    <t>98</t>
  </si>
  <si>
    <t>35344472078332</t>
  </si>
  <si>
    <t>734046101843464</t>
  </si>
  <si>
    <t>11445101 - CORE4 - BARQUISIMETO, AVENIDA FLORENCIO JIMENEZ, SECTOR SANTA ISABEL, PARROQUIA CATEDRAL.</t>
  </si>
  <si>
    <t>10.056389</t>
  </si>
  <si>
    <t>-69.37566699999999</t>
  </si>
  <si>
    <t>11452751 - CORE4 - BARQUISIMETO, AVENIDA FLORENCIO JIMENEZ, SECTOR SANTA ISABEL, PARROQUIA CATEDRAL.</t>
  </si>
  <si>
    <t>1143661 - EL_TOSTAO_II - AVENIDA FLORENCIO JIMENEZ. AUTOPISTA BARQUISIMETO-QUIBOR. DISTRIBUIDOR SAN FRANCISCO. REFERENCIA TALLER COVERE DE LARA KILOMETRO 7. CIUDAD BARQUISIMETO. PARROQUIA JUAN DE VILLEGAS. MUNICIPIO IRIBARREN.</t>
  </si>
  <si>
    <t>INTRL</t>
  </si>
  <si>
    <t>07/01/2025</t>
  </si>
  <si>
    <t>11:00:13</t>
  </si>
  <si>
    <t>97</t>
  </si>
  <si>
    <t>SALIENTE</t>
  </si>
  <si>
    <t>11424391 - AV_VENEZUELA - AVENIDA VENEZUELA. CALLE 19. EDIFICIO ROYAL PALACE. CIUDAD BARQUISIMETO. PARROQUIA CATEDRAL. MUNICIPIO IRIBARREN.</t>
  </si>
  <si>
    <t>10.073875</t>
  </si>
  <si>
    <t>-69.311008</t>
  </si>
  <si>
    <t>1143611 - AV_VENEZUELA - AVENIDA VENEZUELA. CALLE 19. EDIFICIO ROYAL PALACE. CIUDAD BARQUISIMETO. PARROQUIA CATEDRAL. MUNICIPIO IRIBARREN.</t>
  </si>
  <si>
    <t>11:33:52</t>
  </si>
  <si>
    <t>31</t>
  </si>
  <si>
    <t>2128027511</t>
  </si>
  <si>
    <t>15:09:01</t>
  </si>
  <si>
    <t>42</t>
  </si>
  <si>
    <t>11445041 - EL_TOSTAO_II - AVENIDA FLORENCIO JIMENEZ. AUTOPISTA BARQUISIMETO-QUIBOR. DISTRIBUIDOR SAN FRANCISCO. REFERENCIA TALLER COVERE DE LARA KILOMETRO 7. CIUDAD BARQUISIMETO. PARROQUIA JUAN DE VILLEGAS. MUNICIPIO IRIBARREN.</t>
  </si>
  <si>
    <t>CANTV</t>
  </si>
  <si>
    <t>1997</t>
  </si>
  <si>
    <t>17/01/2025</t>
  </si>
  <si>
    <t>10:00:20</t>
  </si>
  <si>
    <t>179</t>
  </si>
  <si>
    <t>11452741 - CORE4 - BARQUISIMETO, AVENIDA FLORENCIO JIMENEZ, SECTOR SANTA ISABEL, PARROQUIA CATEDRAL.</t>
  </si>
  <si>
    <t>10:13:20</t>
  </si>
  <si>
    <t>57</t>
  </si>
  <si>
    <t>10:52:47</t>
  </si>
  <si>
    <t>27</t>
  </si>
  <si>
    <t>11:26:17</t>
  </si>
  <si>
    <t>79</t>
  </si>
  <si>
    <t>19/01/2025</t>
  </si>
  <si>
    <t>17:54:58</t>
  </si>
  <si>
    <t>46</t>
  </si>
  <si>
    <t>21/01/2025</t>
  </si>
  <si>
    <t>10:25:48</t>
  </si>
  <si>
    <t>88</t>
  </si>
  <si>
    <t>11444072 - METROPOLIS_BTO - AVENIDA FLORENCIO JIMENEZ. AVENIDA LA SALLE. CENTRO COMERCIAL METROPOLIS. CIUDAD BARQUISIMETO. PARROQUIA CONCEPCION. MUNICIPIO IRIBARREN.</t>
  </si>
  <si>
    <t>10.062311</t>
  </si>
  <si>
    <t>-69.3657</t>
  </si>
  <si>
    <t>27/01/2025</t>
  </si>
  <si>
    <t>18:39:34</t>
  </si>
  <si>
    <t>45</t>
  </si>
  <si>
    <t>11447483 - VILLAS_DEL_OESTE - LOCALIDAD CENTRO COMERCIAL NEVADO RIOS, VIA QUIBOR, KILOMETRO 5, VIALIDAD QUIBOR, CONGLOMERADO SECTOR OESTE, VIALIDAD2 KILOMETRO 5, CODIGO_POSTAL 0, PUNTO_REFERENCIA AL LADO DE PRECA, PAIS VENEZUELA, TIPOUBICACION 2</t>
  </si>
  <si>
    <t>10.045647</t>
  </si>
  <si>
    <t>-69.406389</t>
  </si>
  <si>
    <t>14/02/2025</t>
  </si>
  <si>
    <t>09:03:27</t>
  </si>
  <si>
    <t>29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</si>
  <si>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</si>
  <si>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</si>
  <si>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</si>
  <si>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</si>
  <si>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</si>
  <si>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</si>
  <si>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</si>
  <si>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</si>
  <si>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</si>
  <si>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</si>
  <si>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</si>
  <si>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</si>
  <si>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</si>
  <si>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</si>
  <si>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</si>
  <si>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</si>
  <si>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</si>
  <si>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</si>
  <si>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</si>
  <si>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</si>
  <si>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</si>
  <si>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</si>
  <si>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</si>
  <si>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</si>
  <si>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</si>
  <si>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</si>
  <si>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</si>
  <si>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</si>
  <si>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</si>
  <si>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</si>
  <si>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</si>
  <si>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811</t>
  </si>
  <si>
    <t>2025-01-10</t>
  </si>
  <si>
    <t>09:01:25</t>
  </si>
  <si>
    <t>95</t>
  </si>
  <si>
    <t>SMS</t>
  </si>
  <si>
    <t>UNKNW</t>
  </si>
  <si>
    <t>44646</t>
  </si>
  <si>
    <t>2025-01-13</t>
  </si>
  <si>
    <t>11:01:00</t>
  </si>
  <si>
    <t>149</t>
  </si>
  <si>
    <t>TIWS</t>
  </si>
  <si>
    <t>13:01:36</t>
  </si>
  <si>
    <t>MOVISTAR</t>
  </si>
  <si>
    <t>18:01:51</t>
  </si>
  <si>
    <t>121</t>
  </si>
  <si>
    <t>2025-01-15</t>
  </si>
  <si>
    <t>08:01:59</t>
  </si>
  <si>
    <t>89</t>
  </si>
  <si>
    <t>2025-01-16</t>
  </si>
  <si>
    <t>11:01:45</t>
  </si>
  <si>
    <t>96</t>
  </si>
  <si>
    <t>2025-01-21</t>
  </si>
  <si>
    <t>13:01:03</t>
  </si>
  <si>
    <t>2025-01-26</t>
  </si>
  <si>
    <t>10:01:29</t>
  </si>
  <si>
    <t>123</t>
  </si>
  <si>
    <t>2025-01-31</t>
  </si>
  <si>
    <t>08:01:17</t>
  </si>
  <si>
    <t>124</t>
  </si>
  <si>
    <t>4125141860</t>
  </si>
  <si>
    <t>11:01:03</t>
  </si>
  <si>
    <t>153</t>
  </si>
  <si>
    <t>11:01:04</t>
  </si>
  <si>
    <t>110</t>
  </si>
  <si>
    <t>2025-02-05</t>
  </si>
  <si>
    <t>10:02:29</t>
  </si>
  <si>
    <t>108</t>
  </si>
  <si>
    <t>4262876159</t>
  </si>
  <si>
    <t>2025-02-08</t>
  </si>
  <si>
    <t>07:02:09</t>
  </si>
  <si>
    <t>150</t>
  </si>
  <si>
    <t>MVNET</t>
  </si>
  <si>
    <t>M736</t>
  </si>
  <si>
    <t>2025-02-09</t>
  </si>
  <si>
    <t>09:02:21</t>
  </si>
  <si>
    <t>116</t>
  </si>
  <si>
    <t>2025-02-12</t>
  </si>
  <si>
    <t>08:02:41</t>
  </si>
  <si>
    <t>2025-02-18</t>
  </si>
  <si>
    <t>11:02:35</t>
  </si>
  <si>
    <t>101</t>
  </si>
  <si>
    <t>2025-02-25</t>
  </si>
  <si>
    <t>08:02:58</t>
  </si>
  <si>
    <t>115</t>
  </si>
  <si>
    <t>2025-02-28</t>
  </si>
  <si>
    <t>09:02:49</t>
  </si>
  <si>
    <t>102</t>
  </si>
  <si>
    <t>14:02:02</t>
  </si>
  <si>
    <t>125</t>
  </si>
  <si>
    <t>2025-03-11</t>
  </si>
  <si>
    <t>08:03:58</t>
  </si>
  <si>
    <t>127</t>
  </si>
  <si>
    <t>2025-03-12</t>
  </si>
  <si>
    <t>10:03:08</t>
  </si>
  <si>
    <t>69</t>
  </si>
  <si>
    <t>11:03:54</t>
  </si>
  <si>
    <t>105</t>
  </si>
  <si>
    <t>2025-03-16</t>
  </si>
  <si>
    <t>12:03:36</t>
  </si>
  <si>
    <t>12:03:25</t>
  </si>
  <si>
    <t>81</t>
  </si>
  <si>
    <t>2025-03-28</t>
  </si>
  <si>
    <t>09:03:48</t>
  </si>
  <si>
    <t>2025-03-30</t>
  </si>
  <si>
    <t>12:03:42</t>
  </si>
  <si>
    <t>2025-03-31</t>
  </si>
  <si>
    <t>10:03:20</t>
  </si>
  <si>
    <t>2025-04-05</t>
  </si>
  <si>
    <t>12:04:16</t>
  </si>
  <si>
    <t>12:04:19</t>
  </si>
  <si>
    <t>143</t>
  </si>
  <si>
    <t>2025-04-06</t>
  </si>
  <si>
    <t>2025-04-11</t>
  </si>
  <si>
    <t>08:04:52</t>
  </si>
  <si>
    <t>2025-04-14</t>
  </si>
  <si>
    <t>11:04:35</t>
  </si>
  <si>
    <t>128</t>
  </si>
  <si>
    <t>2025-04-16</t>
  </si>
  <si>
    <t>10:04:45</t>
  </si>
  <si>
    <t>2025-04-30</t>
  </si>
  <si>
    <t>08:04:15</t>
  </si>
  <si>
    <t>2025-05-01</t>
  </si>
  <si>
    <t>09:05:12</t>
  </si>
  <si>
    <t>09:05:14</t>
  </si>
  <si>
    <t>4123503806</t>
  </si>
  <si>
    <t>2025-05-03</t>
  </si>
  <si>
    <t>15:05:21</t>
  </si>
  <si>
    <t>15:05:23</t>
  </si>
  <si>
    <t>61</t>
  </si>
  <si>
    <t>2467</t>
  </si>
  <si>
    <t>2025-05-28</t>
  </si>
  <si>
    <t>12:05:48</t>
  </si>
  <si>
    <t>154</t>
  </si>
  <si>
    <t>TEAM</t>
  </si>
  <si>
    <t>14:05:32</t>
  </si>
  <si>
    <t>120</t>
  </si>
  <si>
    <t>4122200255</t>
  </si>
  <si>
    <t>2025-06-04</t>
  </si>
  <si>
    <t>09:06:04</t>
  </si>
  <si>
    <t>148</t>
  </si>
  <si>
    <t>2025-06-06</t>
  </si>
  <si>
    <t>11:06:15</t>
  </si>
  <si>
    <t>4265730506</t>
  </si>
  <si>
    <t>2025-10-01</t>
  </si>
  <si>
    <t>11:10:16</t>
  </si>
  <si>
    <t>11:10:18</t>
  </si>
  <si>
    <t>119</t>
  </si>
  <si>
    <t>2025-10-29</t>
  </si>
  <si>
    <t>10:10:50</t>
  </si>
  <si>
    <t>133</t>
  </si>
  <si>
    <t>2025-12-01</t>
  </si>
  <si>
    <t>12:12:45</t>
  </si>
  <si>
    <t>12:12:47</t>
  </si>
  <si>
    <t>2025-12-03</t>
  </si>
  <si>
    <t>11:12:13</t>
  </si>
  <si>
    <t>11:12:15</t>
  </si>
  <si>
    <t>145</t>
  </si>
  <si>
    <t>2025-12-09</t>
  </si>
  <si>
    <t>10:12:32</t>
  </si>
  <si>
    <t>10:12:34</t>
  </si>
  <si>
    <t>2026-01-05</t>
  </si>
  <si>
    <t>10:01:04</t>
  </si>
  <si>
    <t>10:01:06</t>
  </si>
  <si>
    <t>CANT_CARACTERES</t>
  </si>
  <si>
    <t>CARRIER</t>
  </si>
  <si>
    <t>Etiquetas de fila</t>
  </si>
  <si>
    <t>Total general</t>
  </si>
  <si>
    <t>Etiquetas de columna</t>
  </si>
  <si>
    <t>Cuenta de ABONADO_A</t>
  </si>
  <si>
    <t>Tipo Transaccion</t>
  </si>
  <si>
    <t>LLAMADA ENTRANTE</t>
  </si>
  <si>
    <t>LLAMADA SALIENTE</t>
  </si>
  <si>
    <t>SMS ENTRANTE</t>
  </si>
  <si>
    <t>Cuenta de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</si>
</sst>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166" fontId="2" fillId="0" borderId="0" xfId="0" applyNumberFormat="1" applyFont="1" applyAlignment="1">
      <alignment horizontal="center" vertical="center" wrapText="1"/>
    </xf>
    <xf numFmtId="19" fontId="0" fillId="0" borderId="0" xfId="0" applyNumberFormat="1"/>
  </cellXfs>
  <cellStyles count="1">
    <cellStyle name="Normal" xfId="0" builtinId="0"/>
  </cellStyles>
  <dxfs count="23">
    <dxf>
      <numFmt numFmtId="24" formatCode="hh:mm:ss\ AM/P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  <dxf>
      <numFmt numFmtId="166" formatCode="[$-F400]h:mm:ss\ AM/PM"/>
    </dxf>
    <dxf>
      <numFmt numFmtId="19" formatCode="dd/mm/yyyy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  <dxf>
      <numFmt numFmtId="166" formatCode="[$-F400]h:mm:ss\ AM/PM"/>
    </dxf>
    <dxf>
      <numFmt numFmtId="19" formatCode="dd/mm/yyyy"/>
    </dxf>
    <dxf>
      <numFmt numFmtId="1" formatCode="0"/>
    </dxf>
    <dxf>
      <numFmt numFmtId="1" formatCode="0"/>
    </dxf>
    <dxf>
      <numFmt numFmtId="166" formatCode="[$-F400]h:mm:ss\ AM/P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044.577853125003" createdVersion="5" refreshedVersion="5" minRefreshableVersion="3" recordCount="132">
  <cacheSource type="worksheet">
    <worksheetSource name="Table278"/>
  </cacheSource>
  <cacheFields count="30">
    <cacheField name="ABONADO_A" numFmtId="1">
      <sharedItems containsMixedTypes="1" containsNumber="1" containsInteger="1" minValue="811" maxValue="4265730506" count="14">
        <n v="4128990551"/>
        <n v="4245109750"/>
        <n v="4245088512"/>
        <n v="2128027511"/>
        <n v="811"/>
        <n v="44646"/>
        <s v="MOVISTAR"/>
        <n v="4125141860"/>
        <n v="4262876159"/>
        <s v="M736"/>
        <n v="4123503806"/>
        <n v="2467"/>
        <n v="4122200255"/>
        <n v="4265730506"/>
      </sharedItems>
    </cacheField>
    <cacheField name="ABONADO_B" numFmtId="1">
      <sharedItems containsString="0" containsBlank="1" containsNumber="1" containsInteger="1" minValue="4245088512" maxValue="4245109750" count="3">
        <n v="4245088512"/>
        <n v="4245109750"/>
        <m/>
      </sharedItems>
    </cacheField>
    <cacheField name="FECHA" numFmtId="14">
      <sharedItems containsSemiMixedTypes="0" containsNonDate="0" containsDate="1" containsString="0" minDate="2025-01-06T00:00:00" maxDate="2026-01-06T00:00:00"/>
    </cacheField>
    <cacheField name="HORA" numFmtId="166">
      <sharedItems containsSemiMixedTypes="0" containsNonDate="0" containsDate="1" containsString="0" minDate="1899-12-30T07:02:09" maxDate="1899-12-30T18:39:34"/>
    </cacheField>
    <cacheField name="DURACION" numFmtId="1">
      <sharedItems containsSemiMixedTypes="0" containsString="0" containsNumber="1" containsInteger="1" minValue="27" maxValue="179"/>
    </cacheField>
    <cacheField name="TIPO_CDR" numFmtId="0">
      <sharedItems/>
    </cacheField>
    <cacheField name="TRANSACCION" numFmtId="0">
      <sharedItems/>
    </cacheField>
    <cacheField name="Tipo Transaccion" numFmtId="0">
      <sharedItems count="3">
        <s v="LLAMADA ENTRANTE"/>
        <s v="LLAMADA SALIENTE"/>
        <s v="SMS ENTRANTE"/>
      </sharedItems>
    </cacheField>
    <cacheField name="DIRECCION_INICIAL_A" numFmtId="0">
      <sharedItems containsBlank="1" count="7">
        <s v="1140 -  - "/>
        <s v="11445101 - CORE4 - BARQUISIMETO, AVENIDA FLORENCIO JIMENEZ, SECTOR SANTA ISABEL, PARROQUIA CATEDRAL."/>
        <s v="11424391 - AV_VENEZUELA - AVENIDA VENEZUELA. CALLE 19. EDIFICIO ROYAL PALACE. CIUDAD BARQUISIMETO. PARROQUIA CATEDRAL. MUNICIPIO IRIBARREN."/>
        <s v="11443431 - EL_TOSTAO_II - AVENIDA FLORENCIO JIMENEZ. AUTOPISTA BARQUISIMETO-QUIBOR. DISTRIBUIDOR SAN FRANCISCO. REFERENCIA TALLER COVERE DE LARA KILOMETRO 7. CIUDAD BARQUISIMETO. PARROQUIA JUAN DE VILLEGAS. MUNICIPIO IRIBARREN."/>
        <s v="11444072 - METROPOLIS_BTO - AVENIDA FLORENCIO JIMENEZ. AVENIDA LA SALLE. CENTRO COMERCIAL METROPOLIS. CIUDAD BARQUISIMETO. PARROQUIA CONCEPCION. MUNICIPIO IRIBARREN."/>
        <s v="11452741 - CORE4 - BARQUISIMETO, AVENIDA FLORENCIO JIMENEZ, SECTOR SANTA ISABEL, PARROQUIA CATEDRAL."/>
        <m/>
      </sharedItems>
    </cacheField>
    <cacheField name="LATITUD_INICIAL_A" numFmtId="0">
      <sharedItems containsBlank="1"/>
    </cacheField>
    <cacheField name="LONGITUD_INICIAL_A" numFmtId="0">
      <sharedItems containsBlank="1"/>
    </cacheField>
    <cacheField name="DIRECCION_FINAL_A" numFmtId="0">
      <sharedItems containsBlank="1"/>
    </cacheField>
    <cacheField name="LATITUD_FINAL_A" numFmtId="0">
      <sharedItems containsBlank="1"/>
    </cacheField>
    <cacheField name="LONGITUD_FINAL_A" numFmtId="0">
      <sharedItems containsBlank="1"/>
    </cacheField>
    <cacheField name="IMEI_ABONADO_B" numFmtId="0">
      <sharedItems containsBlank="1"/>
    </cacheField>
    <cacheField name="IMSI_ABONADO_B" numFmtId="0">
      <sharedItems containsBlank="1"/>
    </cacheField>
    <cacheField name="DIRECCION_INICIAL_B" numFmtId="0">
      <sharedItems containsBlank="1"/>
    </cacheField>
    <cacheField name="LATITUD_INICIAL_B" numFmtId="0">
      <sharedItems containsBlank="1"/>
    </cacheField>
    <cacheField name="LONGITUD_INICIAL_B" numFmtId="0">
      <sharedItems containsBlank="1"/>
    </cacheField>
    <cacheField name="DIRECCION_FINAL_B" numFmtId="0">
      <sharedItems containsBlank="1"/>
    </cacheField>
    <cacheField name="LATITUD_FINAL_B" numFmtId="0">
      <sharedItems containsBlank="1"/>
    </cacheField>
    <cacheField name="LONGITUD_FINAL_B" numFmtId="0">
      <sharedItems containsBlank="1"/>
    </cacheField>
    <cacheField name="CARRIER_A" numFmtId="0">
      <sharedItems containsBlank="1"/>
    </cacheField>
    <cacheField name="CARRIER_B" numFmtId="0">
      <sharedItems containsBlank="1"/>
    </cacheField>
    <cacheField name="IN_TRUNK_ID_ORIG" numFmtId="0">
      <sharedItems containsBlank="1"/>
    </cacheField>
    <cacheField name="OUT_TRUNK_ID_ORIG" numFmtId="0">
      <sharedItems containsBlank="1"/>
    </cacheField>
    <cacheField name="IN_TRUNK_ID_TERM" numFmtId="0">
      <sharedItems containsBlank="1"/>
    </cacheField>
    <cacheField name="OUT_TRUNK_ID_TERM" numFmtId="0">
      <sharedItems containsBlank="1"/>
    </cacheField>
    <cacheField name="IMEI_ABONADO_A" numFmtId="0">
      <sharedItems/>
    </cacheField>
    <cacheField name="IMSI_ABONADO_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2">
  <r>
    <x v="0"/>
    <x v="0"/>
    <d v="2025-01-06T00:00:00"/>
    <d v="1899-12-30T15:07:22"/>
    <n v="59"/>
    <s v="LLAMADA"/>
    <s v="ENTRANTE"/>
    <x v="0"/>
    <x v="0"/>
    <s v="0.0"/>
    <s v="0.0"/>
    <s v="1140 -  - "/>
    <s v="0.0"/>
    <s v="0.0"/>
    <s v="35867510074311"/>
    <s v="734046800349069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DGTEL"/>
    <s v="DGTEL"/>
    <s v="1872"/>
    <s v="0"/>
    <s v="1872"/>
    <s v="0"/>
    <s v="0"/>
    <s v="0"/>
  </r>
  <r>
    <x v="1"/>
    <x v="0"/>
    <d v="2025-01-06T00:00:00"/>
    <d v="1899-12-30T18:35:11"/>
    <n v="98"/>
    <s v="LLAMADA"/>
    <s v="ENTRANTE"/>
    <x v="0"/>
    <x v="1"/>
    <s v="10.056389"/>
    <s v="-69.37566699999999"/>
    <s v="1145275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1"/>
    <d v="2025-01-07T00:00:00"/>
    <d v="1899-12-30T11:00:13"/>
    <n v="97"/>
    <s v="LLAMADA"/>
    <s v="SALIENTE"/>
    <x v="1"/>
    <x v="2"/>
    <s v="10.073875"/>
    <s v="-69.311008"/>
    <s v="11424391 - AV_VENEZUELA - AVENIDA VENEZUELA. CALLE 19. EDIFICIO ROYAL PALACE. CIUDAD BARQUISIMETO. PARROQUIA CATEDRAL. MUNICIPIO IRIBARREN."/>
    <s v="10.073875"/>
    <s v="-69.311008"/>
    <s v="35344472078332"/>
    <s v="734046101843464"/>
    <s v="1143611 - AV_VENEZUELA - AVENIDA VENEZUELA. CALLE 19. EDIFICIO ROYAL PALACE. CIUDAD BARQUISIMETO. PARROQUIA CATEDRAL. MUNICIPIO IRIBARREN."/>
    <s v="10.073875"/>
    <s v="-69.311008"/>
    <s v="1143611 - AV_VENEZUELA - AVENIDA VENEZUELA. CALLE 19. EDIFICIO ROYAL PALACE. CIUDAD BARQUISIMETO. PARROQUIA CATEDRAL. MUNICIPIO IRIBARREN."/>
    <s v="10.073875"/>
    <s v="-69.311008"/>
    <s v="INTRL"/>
    <s v="INTRL"/>
    <s v="0"/>
    <s v="0"/>
    <s v="0"/>
    <s v="0"/>
    <s v="35867510074311"/>
    <s v="734046800349069"/>
  </r>
  <r>
    <x v="2"/>
    <x v="1"/>
    <d v="2025-01-07T00:00:00"/>
    <d v="1899-12-30T11:33:52"/>
    <n v="31"/>
    <s v="LLAMADA"/>
    <s v="SALIENTE"/>
    <x v="1"/>
    <x v="2"/>
    <s v="10.073875"/>
    <s v="-69.311008"/>
    <s v="11424391 - AV_VENEZUELA - AVENIDA VENEZUELA. CALLE 19. EDIFICIO ROYAL PALACE. CIUDAD BARQUISIMETO. PARROQUIA CATEDRAL. MUNICIPIO IRIBARREN."/>
    <s v="10.073875"/>
    <s v="-69.311008"/>
    <s v="35344472078332"/>
    <s v="734046101843464"/>
    <s v="1143611 - AV_VENEZUELA - AVENIDA VENEZUELA. CALLE 19. EDIFICIO ROYAL PALACE. CIUDAD BARQUISIMETO. PARROQUIA CATEDRAL. MUNICIPIO IRIBARREN."/>
    <s v="10.073875"/>
    <s v="-69.311008"/>
    <s v="1143611 - AV_VENEZUELA - AVENIDA VENEZUELA. CALLE 19. EDIFICIO ROYAL PALACE. CIUDAD BARQUISIMETO. PARROQUIA CATEDRAL. MUNICIPIO IRIBARREN."/>
    <s v="10.073875"/>
    <s v="-69.311008"/>
    <s v="INTRL"/>
    <s v="INTRL"/>
    <s v="0"/>
    <s v="0"/>
    <s v="0"/>
    <s v="0"/>
    <s v="35867510074311"/>
    <s v="734046800349069"/>
  </r>
  <r>
    <x v="3"/>
    <x v="0"/>
    <d v="2025-01-07T00:00:00"/>
    <d v="1899-12-30T15:09:01"/>
    <n v="42"/>
    <s v="LLAMADA"/>
    <s v="ENTRANTE"/>
    <x v="0"/>
    <x v="0"/>
    <s v="0.0"/>
    <s v="0.0"/>
    <s v="1140 -  - "/>
    <s v="0.0"/>
    <s v="0.0"/>
    <s v="35867510074311"/>
    <s v="734046800349069"/>
    <s v="1144504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CANTV"/>
    <s v="CANTV"/>
    <s v="1997"/>
    <s v="0"/>
    <s v="1997"/>
    <s v="0"/>
    <s v="0"/>
    <s v="0"/>
  </r>
  <r>
    <x v="1"/>
    <x v="0"/>
    <d v="2025-01-17T00:00:00"/>
    <d v="1899-12-30T10:00:20"/>
    <n v="179"/>
    <s v="LLAMADA"/>
    <s v="ENTRANTE"/>
    <x v="0"/>
    <x v="1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504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0"/>
    <d v="2025-01-17T00:00:00"/>
    <d v="1899-12-30T10:13:20"/>
    <n v="57"/>
    <s v="LLAMADA"/>
    <s v="ENTRANTE"/>
    <x v="0"/>
    <x v="1"/>
    <s v="10.056389"/>
    <s v="-69.37566699999999"/>
    <s v="1145275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0"/>
    <d v="2025-01-17T00:00:00"/>
    <d v="1899-12-30T10:52:47"/>
    <n v="27"/>
    <s v="LLAMADA"/>
    <s v="ENTRANTE"/>
    <x v="0"/>
    <x v="1"/>
    <s v="10.056389"/>
    <s v="-69.37566699999999"/>
    <s v="11452751 - CORE4 - BARQUISIMETO, AVENIDA FLORENCIO JIMENEZ, SECTOR SANTA ISABEL, PARROQUIA CATEDRAL."/>
    <s v="10.056389"/>
    <s v="-69.37566699999999"/>
    <s v="35867510074311"/>
    <s v="734046800349069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0"/>
    <d v="2025-01-17T00:00:00"/>
    <d v="1899-12-30T11:26:17"/>
    <n v="79"/>
    <s v="LLAMADA"/>
    <s v="ENTRANTE"/>
    <x v="0"/>
    <x v="1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0"/>
    <d v="2025-01-19T00:00:00"/>
    <d v="1899-12-30T17:54:58"/>
    <n v="46"/>
    <s v="LLAMADA"/>
    <s v="ENTRANTE"/>
    <x v="0"/>
    <x v="3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0"/>
    <d v="2025-01-21T00:00:00"/>
    <d v="1899-12-30T10:25:48"/>
    <n v="88"/>
    <s v="LLAMADA"/>
    <s v="ENTRANTE"/>
    <x v="0"/>
    <x v="4"/>
    <s v="10.062311"/>
    <s v="-69.3657"/>
    <s v="11444072 - METROPOLIS_BTO - AVENIDA FLORENCIO JIMENEZ. AVENIDA LA SALLE. CENTRO COMERCIAL METROPOLIS. CIUDAD BARQUISIMETO. PARROQUIA CONCEPCION. MUNICIPIO IRIBARREN."/>
    <s v="10.062311"/>
    <s v="-69.3657"/>
    <s v="35867510074311"/>
    <s v="734046800349069"/>
    <s v="1144504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0"/>
    <d v="2025-01-27T00:00:00"/>
    <d v="1899-12-30T18:39:34"/>
    <n v="45"/>
    <s v="LLAMADA"/>
    <s v="ENTRANTE"/>
    <x v="0"/>
    <x v="1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7483 - VILLAS_DEL_OESTE - LOCALIDAD CENTRO COMERCIAL NEVADO RIOS, VIA QUIBOR, KILOMETRO 5, VIALIDAD QUIBOR, CONGLOMERADO SECTOR OESTE, VIALIDAD2 KILOMETRO 5, CODIGO_POSTAL 0, PUNTO_REFERENCIA AL LADO DE PRECA, PAIS VENEZUELA, TIPOUBICACION 2"/>
    <s v="10.045647"/>
    <s v="-69.406389"/>
    <s v="INTRL"/>
    <s v="INTRL"/>
    <s v="0"/>
    <s v="0"/>
    <s v="0"/>
    <s v="0"/>
    <s v="35344472078332"/>
    <s v="734046101843464"/>
  </r>
  <r>
    <x v="1"/>
    <x v="0"/>
    <d v="2025-02-14T00:00:00"/>
    <d v="1899-12-30T09:03:27"/>
    <n v="29"/>
    <s v="LLAMADA"/>
    <s v="ENTRANTE"/>
    <x v="0"/>
    <x v="5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4"/>
    <x v="0"/>
    <d v="2025-01-10T00:00:00"/>
    <d v="1899-12-30T09:01:25"/>
    <n v="9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5"/>
    <x v="0"/>
    <d v="2025-01-13T00:00:00"/>
    <d v="1899-12-30T11:01:00"/>
    <n v="149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5"/>
    <x v="0"/>
    <d v="2025-01-13T00:00:00"/>
    <d v="1899-12-30T13:01:36"/>
    <n v="149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6"/>
    <x v="0"/>
    <d v="2025-01-13T00:00:00"/>
    <d v="1899-12-30T18:01:51"/>
    <n v="12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1-15T00:00:00"/>
    <d v="1899-12-30T08:01:59"/>
    <n v="8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1-16T00:00:00"/>
    <d v="1899-12-30T11:01:45"/>
    <n v="96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1-21T00:00:00"/>
    <d v="1899-12-30T13:01:03"/>
    <n v="8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1-26T00:00:00"/>
    <d v="1899-12-30T10:01:29"/>
    <n v="123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1-31T00:00:00"/>
    <d v="1899-12-30T08:01:17"/>
    <n v="124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7"/>
    <x v="0"/>
    <d v="2025-01-31T00:00:00"/>
    <d v="1899-12-30T11:01:03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7"/>
    <x v="0"/>
    <d v="2025-01-31T00:00:00"/>
    <d v="1899-12-30T11:01:04"/>
    <n v="110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4"/>
    <x v="0"/>
    <d v="2025-02-05T00:00:00"/>
    <d v="1899-12-30T10:02:29"/>
    <n v="108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8"/>
    <x v="0"/>
    <d v="2025-02-08T00:00:00"/>
    <d v="1899-12-30T07:02:09"/>
    <n v="150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9"/>
    <x v="0"/>
    <d v="2025-02-09T00:00:00"/>
    <d v="1899-12-30T09:02:21"/>
    <n v="116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2-12T00:00:00"/>
    <d v="1899-12-30T08:02:41"/>
    <n v="12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2-18T00:00:00"/>
    <d v="1899-12-30T11:02:35"/>
    <n v="10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2-25T00:00:00"/>
    <d v="1899-12-30T08:02:58"/>
    <n v="11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2-28T00:00:00"/>
    <d v="1899-12-30T09:02:49"/>
    <n v="102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2-28T00:00:00"/>
    <d v="1899-12-30T14:02:02"/>
    <n v="12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3-11T00:00:00"/>
    <d v="1899-12-30T08:03:58"/>
    <n v="127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3-12T00:00:00"/>
    <d v="1899-12-30T10:03:08"/>
    <n v="6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3-12T00:00:00"/>
    <d v="1899-12-30T11:03:54"/>
    <n v="10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5"/>
    <x v="0"/>
    <d v="2025-03-16T00:00:00"/>
    <d v="1899-12-30T12:03:36"/>
    <n v="59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5"/>
    <x v="0"/>
    <d v="2025-03-16T00:00:00"/>
    <d v="1899-12-30T12:03:25"/>
    <n v="81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6"/>
    <x v="0"/>
    <d v="2025-03-28T00:00:00"/>
    <d v="1899-12-30T09:03:48"/>
    <n v="12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3-30T00:00:00"/>
    <d v="1899-12-30T12:03:42"/>
    <n v="6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3-31T00:00:00"/>
    <d v="1899-12-30T10:03:20"/>
    <n v="123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8"/>
    <x v="0"/>
    <d v="2025-04-05T00:00:00"/>
    <d v="1899-12-30T12:04:16"/>
    <n v="153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8"/>
    <x v="0"/>
    <d v="2025-04-05T00:00:00"/>
    <d v="1899-12-30T12:04:19"/>
    <n v="143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4"/>
    <x v="0"/>
    <d v="2025-04-06T00:00:00"/>
    <d v="1899-12-30T12:04:16"/>
    <n v="6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4-11T00:00:00"/>
    <d v="1899-12-30T08:04:52"/>
    <n v="127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4-14T00:00:00"/>
    <d v="1899-12-30T11:04:35"/>
    <n v="128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4"/>
    <x v="0"/>
    <d v="2025-04-16T00:00:00"/>
    <d v="1899-12-30T10:04:45"/>
    <n v="97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6"/>
    <x v="0"/>
    <d v="2025-04-30T00:00:00"/>
    <d v="1899-12-30T08:04:15"/>
    <n v="124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7"/>
    <x v="0"/>
    <d v="2025-05-01T00:00:00"/>
    <d v="1899-12-30T09:05:12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7"/>
    <x v="0"/>
    <d v="2025-05-01T00:00:00"/>
    <d v="1899-12-30T09:05:14"/>
    <n v="14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0"/>
    <x v="0"/>
    <d v="2025-05-03T00:00:00"/>
    <d v="1899-12-30T15:05:21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0"/>
    <x v="0"/>
    <d v="2025-05-03T00:00:00"/>
    <d v="1899-12-30T15:05:23"/>
    <n v="61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1"/>
    <x v="0"/>
    <d v="2025-05-28T00:00:00"/>
    <d v="1899-12-30T12:05:48"/>
    <n v="154"/>
    <s v="SMS"/>
    <s v="ENTRANTE"/>
    <x v="2"/>
    <x v="6"/>
    <m/>
    <m/>
    <m/>
    <m/>
    <m/>
    <m/>
    <m/>
    <m/>
    <m/>
    <m/>
    <m/>
    <m/>
    <m/>
    <m/>
    <m/>
    <m/>
    <m/>
    <m/>
    <m/>
    <s v="TEAM"/>
    <m/>
  </r>
  <r>
    <x v="6"/>
    <x v="0"/>
    <d v="2025-05-28T00:00:00"/>
    <d v="1899-12-30T14:05:32"/>
    <n v="120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12"/>
    <x v="0"/>
    <d v="2025-06-04T00:00:00"/>
    <d v="1899-12-30T09:06:04"/>
    <n v="148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6"/>
    <x v="0"/>
    <d v="2025-06-06T00:00:00"/>
    <d v="1899-12-30T11:06:15"/>
    <n v="124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13"/>
    <x v="0"/>
    <d v="2025-10-01T00:00:00"/>
    <d v="1899-12-30T11:10:16"/>
    <n v="153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13"/>
    <x v="0"/>
    <d v="2025-10-01T00:00:00"/>
    <d v="1899-12-30T11:10:18"/>
    <n v="119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11"/>
    <x v="0"/>
    <d v="2025-10-29T00:00:00"/>
    <d v="1899-12-30T10:10:50"/>
    <n v="133"/>
    <s v="SMS"/>
    <s v="ENTRANTE"/>
    <x v="2"/>
    <x v="6"/>
    <m/>
    <m/>
    <m/>
    <m/>
    <m/>
    <m/>
    <m/>
    <m/>
    <m/>
    <m/>
    <m/>
    <m/>
    <m/>
    <m/>
    <m/>
    <m/>
    <m/>
    <m/>
    <m/>
    <s v="TEAM"/>
    <m/>
  </r>
  <r>
    <x v="7"/>
    <x v="0"/>
    <d v="2025-12-01T00:00:00"/>
    <d v="1899-12-30T12:12:45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7"/>
    <x v="0"/>
    <d v="2025-12-01T00:00:00"/>
    <d v="1899-12-30T12:12:47"/>
    <n v="96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2"/>
    <x v="0"/>
    <d v="2025-12-03T00:00:00"/>
    <d v="1899-12-30T11:12:13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2"/>
    <x v="0"/>
    <d v="2025-12-03T00:00:00"/>
    <d v="1899-12-30T11:12:15"/>
    <n v="145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2"/>
    <x v="0"/>
    <d v="2025-12-09T00:00:00"/>
    <d v="1899-12-30T10:12:32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12"/>
    <x v="0"/>
    <d v="2025-12-09T00:00:00"/>
    <d v="1899-12-30T10:12:34"/>
    <n v="145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7"/>
    <x v="0"/>
    <d v="2026-01-05T00:00:00"/>
    <d v="1899-12-30T10:01:04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7"/>
    <x v="0"/>
    <d v="2026-01-05T00:00:00"/>
    <d v="1899-12-30T10:01:06"/>
    <n v="127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1-06T00:00:00"/>
    <d v="1899-12-30T15:07:22"/>
    <n v="59"/>
    <s v="LLAMADA"/>
    <s v="ENTRANTE"/>
    <x v="0"/>
    <x v="0"/>
    <s v="0.0"/>
    <s v="0.0"/>
    <s v="1140 -  - "/>
    <s v="0.0"/>
    <s v="0.0"/>
    <s v="35867510074311"/>
    <s v="734046800349069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DGTEL"/>
    <s v="DGTEL"/>
    <s v="1872"/>
    <s v="0"/>
    <s v="1872"/>
    <s v="0"/>
    <s v="0"/>
    <s v="0"/>
  </r>
  <r>
    <x v="2"/>
    <x v="2"/>
    <d v="2025-01-06T00:00:00"/>
    <d v="1899-12-30T18:35:11"/>
    <n v="98"/>
    <s v="LLAMADA"/>
    <s v="ENTRANTE"/>
    <x v="0"/>
    <x v="1"/>
    <s v="10.056389"/>
    <s v="-69.37566699999999"/>
    <s v="1145275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1"/>
    <x v="2"/>
    <d v="2025-01-07T00:00:00"/>
    <d v="1899-12-30T11:00:13"/>
    <n v="97"/>
    <s v="LLAMADA"/>
    <s v="SALIENTE"/>
    <x v="1"/>
    <x v="2"/>
    <s v="10.073875"/>
    <s v="-69.311008"/>
    <s v="11424391 - AV_VENEZUELA - AVENIDA VENEZUELA. CALLE 19. EDIFICIO ROYAL PALACE. CIUDAD BARQUISIMETO. PARROQUIA CATEDRAL. MUNICIPIO IRIBARREN."/>
    <s v="10.073875"/>
    <s v="-69.311008"/>
    <s v="35344472078332"/>
    <s v="734046101843464"/>
    <s v="1143611 - AV_VENEZUELA - AVENIDA VENEZUELA. CALLE 19. EDIFICIO ROYAL PALACE. CIUDAD BARQUISIMETO. PARROQUIA CATEDRAL. MUNICIPIO IRIBARREN."/>
    <s v="10.073875"/>
    <s v="-69.311008"/>
    <s v="1143611 - AV_VENEZUELA - AVENIDA VENEZUELA. CALLE 19. EDIFICIO ROYAL PALACE. CIUDAD BARQUISIMETO. PARROQUIA CATEDRAL. MUNICIPIO IRIBARREN."/>
    <s v="10.073875"/>
    <s v="-69.311008"/>
    <s v="INTRL"/>
    <s v="INTRL"/>
    <s v="0"/>
    <s v="0"/>
    <s v="0"/>
    <s v="0"/>
    <s v="35867510074311"/>
    <s v="734046800349069"/>
  </r>
  <r>
    <x v="1"/>
    <x v="2"/>
    <d v="2025-01-07T00:00:00"/>
    <d v="1899-12-30T11:33:52"/>
    <n v="31"/>
    <s v="LLAMADA"/>
    <s v="SALIENTE"/>
    <x v="1"/>
    <x v="2"/>
    <s v="10.073875"/>
    <s v="-69.311008"/>
    <s v="11424391 - AV_VENEZUELA - AVENIDA VENEZUELA. CALLE 19. EDIFICIO ROYAL PALACE. CIUDAD BARQUISIMETO. PARROQUIA CATEDRAL. MUNICIPIO IRIBARREN."/>
    <s v="10.073875"/>
    <s v="-69.311008"/>
    <s v="35344472078332"/>
    <s v="734046101843464"/>
    <s v="1143611 - AV_VENEZUELA - AVENIDA VENEZUELA. CALLE 19. EDIFICIO ROYAL PALACE. CIUDAD BARQUISIMETO. PARROQUIA CATEDRAL. MUNICIPIO IRIBARREN."/>
    <s v="10.073875"/>
    <s v="-69.311008"/>
    <s v="1143611 - AV_VENEZUELA - AVENIDA VENEZUELA. CALLE 19. EDIFICIO ROYAL PALACE. CIUDAD BARQUISIMETO. PARROQUIA CATEDRAL. MUNICIPIO IRIBARREN."/>
    <s v="10.073875"/>
    <s v="-69.311008"/>
    <s v="INTRL"/>
    <s v="INTRL"/>
    <s v="0"/>
    <s v="0"/>
    <s v="0"/>
    <s v="0"/>
    <s v="35867510074311"/>
    <s v="734046800349069"/>
  </r>
  <r>
    <x v="2"/>
    <x v="2"/>
    <d v="2025-01-07T00:00:00"/>
    <d v="1899-12-30T15:09:01"/>
    <n v="42"/>
    <s v="LLAMADA"/>
    <s v="ENTRANTE"/>
    <x v="0"/>
    <x v="0"/>
    <s v="0.0"/>
    <s v="0.0"/>
    <s v="1140 -  - "/>
    <s v="0.0"/>
    <s v="0.0"/>
    <s v="35867510074311"/>
    <s v="734046800349069"/>
    <s v="1144504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CANTV"/>
    <s v="CANTV"/>
    <s v="1997"/>
    <s v="0"/>
    <s v="1997"/>
    <s v="0"/>
    <s v="0"/>
    <s v="0"/>
  </r>
  <r>
    <x v="2"/>
    <x v="2"/>
    <d v="2025-01-17T00:00:00"/>
    <d v="1899-12-30T10:00:20"/>
    <n v="179"/>
    <s v="LLAMADA"/>
    <s v="ENTRANTE"/>
    <x v="0"/>
    <x v="1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504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17T00:00:00"/>
    <d v="1899-12-30T10:13:20"/>
    <n v="57"/>
    <s v="LLAMADA"/>
    <s v="ENTRANTE"/>
    <x v="0"/>
    <x v="1"/>
    <s v="10.056389"/>
    <s v="-69.37566699999999"/>
    <s v="1145275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17T00:00:00"/>
    <d v="1899-12-30T10:52:47"/>
    <n v="27"/>
    <s v="LLAMADA"/>
    <s v="ENTRANTE"/>
    <x v="0"/>
    <x v="1"/>
    <s v="10.056389"/>
    <s v="-69.37566699999999"/>
    <s v="11452751 - CORE4 - BARQUISIMETO, AVENIDA FLORENCIO JIMENEZ, SECTOR SANTA ISABEL, PARROQUIA CATEDRAL."/>
    <s v="10.056389"/>
    <s v="-69.37566699999999"/>
    <s v="35867510074311"/>
    <s v="734046800349069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17T00:00:00"/>
    <d v="1899-12-30T11:26:17"/>
    <n v="79"/>
    <s v="LLAMADA"/>
    <s v="ENTRANTE"/>
    <x v="0"/>
    <x v="1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19T00:00:00"/>
    <d v="1899-12-30T17:54:58"/>
    <n v="46"/>
    <s v="LLAMADA"/>
    <s v="ENTRANTE"/>
    <x v="0"/>
    <x v="3"/>
    <s v="10.04325"/>
    <s v="-69.425833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21T00:00:00"/>
    <d v="1899-12-30T10:25:48"/>
    <n v="88"/>
    <s v="LLAMADA"/>
    <s v="ENTRANTE"/>
    <x v="0"/>
    <x v="4"/>
    <s v="10.062311"/>
    <s v="-69.3657"/>
    <s v="11444072 - METROPOLIS_BTO - AVENIDA FLORENCIO JIMENEZ. AVENIDA LA SALLE. CENTRO COMERCIAL METROPOLIS. CIUDAD BARQUISIMETO. PARROQUIA CONCEPCION. MUNICIPIO IRIBARREN."/>
    <s v="10.062311"/>
    <s v="-69.3657"/>
    <s v="35867510074311"/>
    <s v="734046800349069"/>
    <s v="1144504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27T00:00:00"/>
    <d v="1899-12-30T18:39:34"/>
    <n v="45"/>
    <s v="LLAMADA"/>
    <s v="ENTRANTE"/>
    <x v="0"/>
    <x v="1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4343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47483 - VILLAS_DEL_OESTE - LOCALIDAD CENTRO COMERCIAL NEVADO RIOS, VIA QUIBOR, KILOMETRO 5, VIALIDAD QUIBOR, CONGLOMERADO SECTOR OESTE, VIALIDAD2 KILOMETRO 5, CODIGO_POSTAL 0, PUNTO_REFERENCIA AL LADO DE PRECA, PAIS VENEZUELA, TIPOUBICACION 2"/>
    <s v="10.045647"/>
    <s v="-69.406389"/>
    <s v="INTRL"/>
    <s v="INTRL"/>
    <s v="0"/>
    <s v="0"/>
    <s v="0"/>
    <s v="0"/>
    <s v="35344472078332"/>
    <s v="734046101843464"/>
  </r>
  <r>
    <x v="2"/>
    <x v="2"/>
    <d v="2025-02-14T00:00:00"/>
    <d v="1899-12-30T09:03:27"/>
    <n v="29"/>
    <s v="LLAMADA"/>
    <s v="ENTRANTE"/>
    <x v="0"/>
    <x v="5"/>
    <s v="10.056389"/>
    <s v="-69.37566699999999"/>
    <s v="11452741 - CORE4 - BARQUISIMETO, AVENIDA FLORENCIO JIMENEZ, SECTOR SANTA ISABEL, PARROQUIA CATEDRAL."/>
    <s v="10.056389"/>
    <s v="-69.37566699999999"/>
    <s v="35867510074311"/>
    <s v="734046800349069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1143661 - EL_TOSTAO_II - AVENIDA FLORENCIO JIMENEZ. AUTOPISTA BARQUISIMETO-QUIBOR. DISTRIBUIDOR SAN FRANCISCO. REFERENCIA TALLER COVERE DE LARA KILOMETRO 7. CIUDAD BARQUISIMETO. PARROQUIA JUAN DE VILLEGAS. MUNICIPIO IRIBARREN."/>
    <s v="10.04325"/>
    <s v="-69.425833"/>
    <s v="INTRL"/>
    <s v="INTRL"/>
    <s v="0"/>
    <s v="0"/>
    <s v="0"/>
    <s v="0"/>
    <s v="35344472078332"/>
    <s v="734046101843464"/>
  </r>
  <r>
    <x v="2"/>
    <x v="2"/>
    <d v="2025-01-10T00:00:00"/>
    <d v="1899-12-30T09:01:25"/>
    <n v="9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13T00:00:00"/>
    <d v="1899-12-30T11:01:00"/>
    <n v="149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2"/>
    <x v="2"/>
    <d v="2025-01-13T00:00:00"/>
    <d v="1899-12-30T13:01:36"/>
    <n v="149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2"/>
    <x v="2"/>
    <d v="2025-01-13T00:00:00"/>
    <d v="1899-12-30T18:01:51"/>
    <n v="12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15T00:00:00"/>
    <d v="1899-12-30T08:01:59"/>
    <n v="8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16T00:00:00"/>
    <d v="1899-12-30T11:01:45"/>
    <n v="96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21T00:00:00"/>
    <d v="1899-12-30T13:01:03"/>
    <n v="8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26T00:00:00"/>
    <d v="1899-12-30T10:01:29"/>
    <n v="123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31T00:00:00"/>
    <d v="1899-12-30T08:01:17"/>
    <n v="124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1-31T00:00:00"/>
    <d v="1899-12-30T11:01:03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1-31T00:00:00"/>
    <d v="1899-12-30T11:01:04"/>
    <n v="110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2-05T00:00:00"/>
    <d v="1899-12-30T10:02:29"/>
    <n v="108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2-08T00:00:00"/>
    <d v="1899-12-30T07:02:09"/>
    <n v="150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2"/>
    <x v="2"/>
    <d v="2025-02-09T00:00:00"/>
    <d v="1899-12-30T09:02:21"/>
    <n v="116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2-12T00:00:00"/>
    <d v="1899-12-30T08:02:41"/>
    <n v="12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2-18T00:00:00"/>
    <d v="1899-12-30T11:02:35"/>
    <n v="10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2-25T00:00:00"/>
    <d v="1899-12-30T08:02:58"/>
    <n v="11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2-28T00:00:00"/>
    <d v="1899-12-30T09:02:49"/>
    <n v="102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2-28T00:00:00"/>
    <d v="1899-12-30T14:02:02"/>
    <n v="12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3-11T00:00:00"/>
    <d v="1899-12-30T08:03:58"/>
    <n v="127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3-12T00:00:00"/>
    <d v="1899-12-30T10:03:08"/>
    <n v="6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3-12T00:00:00"/>
    <d v="1899-12-30T11:03:54"/>
    <n v="105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3-16T00:00:00"/>
    <d v="1899-12-30T12:03:36"/>
    <n v="59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2"/>
    <x v="2"/>
    <d v="2025-03-16T00:00:00"/>
    <d v="1899-12-30T12:03:25"/>
    <n v="81"/>
    <s v="SMS"/>
    <s v="ENTRANTE"/>
    <x v="2"/>
    <x v="6"/>
    <m/>
    <m/>
    <m/>
    <m/>
    <m/>
    <m/>
    <m/>
    <m/>
    <m/>
    <m/>
    <m/>
    <m/>
    <m/>
    <m/>
    <m/>
    <m/>
    <m/>
    <m/>
    <m/>
    <s v="TIWS"/>
    <m/>
  </r>
  <r>
    <x v="2"/>
    <x v="2"/>
    <d v="2025-03-28T00:00:00"/>
    <d v="1899-12-30T09:03:48"/>
    <n v="121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3-30T00:00:00"/>
    <d v="1899-12-30T12:03:42"/>
    <n v="6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3-31T00:00:00"/>
    <d v="1899-12-30T10:03:20"/>
    <n v="123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4-05T00:00:00"/>
    <d v="1899-12-30T12:04:16"/>
    <n v="153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2"/>
    <x v="2"/>
    <d v="2025-04-05T00:00:00"/>
    <d v="1899-12-30T12:04:19"/>
    <n v="143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2"/>
    <x v="2"/>
    <d v="2025-04-06T00:00:00"/>
    <d v="1899-12-30T12:04:16"/>
    <n v="69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4-11T00:00:00"/>
    <d v="1899-12-30T08:04:52"/>
    <n v="127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4-14T00:00:00"/>
    <d v="1899-12-30T11:04:35"/>
    <n v="128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4-16T00:00:00"/>
    <d v="1899-12-30T10:04:45"/>
    <n v="97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4-30T00:00:00"/>
    <d v="1899-12-30T08:04:15"/>
    <n v="124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5-01T00:00:00"/>
    <d v="1899-12-30T09:05:12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5-01T00:00:00"/>
    <d v="1899-12-30T09:05:14"/>
    <n v="14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5-03T00:00:00"/>
    <d v="1899-12-30T15:05:21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5-03T00:00:00"/>
    <d v="1899-12-30T15:05:23"/>
    <n v="61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5-28T00:00:00"/>
    <d v="1899-12-30T12:05:48"/>
    <n v="154"/>
    <s v="SMS"/>
    <s v="ENTRANTE"/>
    <x v="2"/>
    <x v="6"/>
    <m/>
    <m/>
    <m/>
    <m/>
    <m/>
    <m/>
    <m/>
    <m/>
    <m/>
    <m/>
    <m/>
    <m/>
    <m/>
    <m/>
    <m/>
    <m/>
    <m/>
    <m/>
    <m/>
    <s v="TEAM"/>
    <m/>
  </r>
  <r>
    <x v="2"/>
    <x v="2"/>
    <d v="2025-05-28T00:00:00"/>
    <d v="1899-12-30T14:05:32"/>
    <n v="120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06-04T00:00:00"/>
    <d v="1899-12-30T09:06:04"/>
    <n v="148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06-06T00:00:00"/>
    <d v="1899-12-30T11:06:15"/>
    <n v="124"/>
    <s v="SMS"/>
    <s v="ENTRANTE"/>
    <x v="2"/>
    <x v="6"/>
    <m/>
    <m/>
    <m/>
    <m/>
    <m/>
    <m/>
    <m/>
    <m/>
    <m/>
    <m/>
    <m/>
    <m/>
    <m/>
    <m/>
    <m/>
    <m/>
    <m/>
    <m/>
    <m/>
    <s v="UNKNW"/>
    <m/>
  </r>
  <r>
    <x v="2"/>
    <x v="2"/>
    <d v="2025-10-01T00:00:00"/>
    <d v="1899-12-30T11:10:16"/>
    <n v="153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2"/>
    <x v="2"/>
    <d v="2025-10-01T00:00:00"/>
    <d v="1899-12-30T11:10:18"/>
    <n v="119"/>
    <s v="SMS"/>
    <s v="ENTRANTE"/>
    <x v="2"/>
    <x v="6"/>
    <m/>
    <m/>
    <m/>
    <m/>
    <m/>
    <m/>
    <m/>
    <m/>
    <m/>
    <m/>
    <m/>
    <m/>
    <m/>
    <m/>
    <m/>
    <m/>
    <m/>
    <m/>
    <m/>
    <s v="MVNET"/>
    <m/>
  </r>
  <r>
    <x v="2"/>
    <x v="2"/>
    <d v="2025-10-29T00:00:00"/>
    <d v="1899-12-30T10:10:50"/>
    <n v="133"/>
    <s v="SMS"/>
    <s v="ENTRANTE"/>
    <x v="2"/>
    <x v="6"/>
    <m/>
    <m/>
    <m/>
    <m/>
    <m/>
    <m/>
    <m/>
    <m/>
    <m/>
    <m/>
    <m/>
    <m/>
    <m/>
    <m/>
    <m/>
    <m/>
    <m/>
    <m/>
    <m/>
    <s v="TEAM"/>
    <m/>
  </r>
  <r>
    <x v="2"/>
    <x v="2"/>
    <d v="2025-12-01T00:00:00"/>
    <d v="1899-12-30T12:12:45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12-01T00:00:00"/>
    <d v="1899-12-30T12:12:47"/>
    <n v="96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12-03T00:00:00"/>
    <d v="1899-12-30T11:12:13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12-03T00:00:00"/>
    <d v="1899-12-30T11:12:15"/>
    <n v="145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12-09T00:00:00"/>
    <d v="1899-12-30T10:12:32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5-12-09T00:00:00"/>
    <d v="1899-12-30T10:12:34"/>
    <n v="145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6-01-05T00:00:00"/>
    <d v="1899-12-30T10:01:04"/>
    <n v="153"/>
    <s v="SMS"/>
    <s v="ENTRANTE"/>
    <x v="2"/>
    <x v="6"/>
    <m/>
    <m/>
    <m/>
    <m/>
    <m/>
    <m/>
    <m/>
    <m/>
    <m/>
    <m/>
    <m/>
    <m/>
    <m/>
    <m/>
    <m/>
    <m/>
    <m/>
    <m/>
    <m/>
    <s v="DGTEL"/>
    <m/>
  </r>
  <r>
    <x v="2"/>
    <x v="2"/>
    <d v="2026-01-05T00:00:00"/>
    <d v="1899-12-30T10:01:06"/>
    <n v="127"/>
    <s v="SMS"/>
    <s v="ENTRANTE"/>
    <x v="2"/>
    <x v="6"/>
    <m/>
    <m/>
    <m/>
    <m/>
    <m/>
    <m/>
    <m/>
    <m/>
    <m/>
    <m/>
    <m/>
    <m/>
    <m/>
    <m/>
    <m/>
    <m/>
    <m/>
    <m/>
    <m/>
    <s v="DGTE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4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E19" firstHeaderRow="1" firstDataRow="2" firstDataCol="1"/>
  <pivotFields count="30">
    <pivotField axis="axisRow" showAll="0">
      <items count="15">
        <item x="4"/>
        <item x="11"/>
        <item x="5"/>
        <item x="3"/>
        <item x="12"/>
        <item x="10"/>
        <item x="7"/>
        <item x="0"/>
        <item x="2"/>
        <item x="1"/>
        <item x="8"/>
        <item x="13"/>
        <item x="9"/>
        <item x="6"/>
        <item t="default"/>
      </items>
    </pivotField>
    <pivotField showAll="0"/>
    <pivotField dataField="1" numFmtId="14" showAll="0"/>
    <pivotField numFmtId="166" showAll="0"/>
    <pivotField numFmtId="1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uenta de FECH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3" cacheId="4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30">
    <pivotField dataField="1" showAll="0">
      <items count="15">
        <item x="4"/>
        <item x="11"/>
        <item x="5"/>
        <item x="3"/>
        <item x="12"/>
        <item x="10"/>
        <item x="7"/>
        <item x="0"/>
        <item x="2"/>
        <item x="1"/>
        <item x="8"/>
        <item x="13"/>
        <item x="9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numFmtId="166" showAll="0"/>
    <pivotField numFmtId="1" showAll="0"/>
    <pivotField showAll="0"/>
    <pivotField showAll="0"/>
    <pivotField showAll="0"/>
    <pivotField axis="axisRow" showAll="0" sortType="descending">
      <items count="8">
        <item x="0"/>
        <item x="2"/>
        <item x="3"/>
        <item x="4"/>
        <item x="1"/>
        <item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 v="4"/>
    </i>
    <i>
      <x v="1"/>
    </i>
    <i>
      <x/>
    </i>
    <i>
      <x v="5"/>
    </i>
    <i>
      <x v="3"/>
    </i>
    <i>
      <x v="2"/>
    </i>
    <i t="grand">
      <x/>
    </i>
  </rowItems>
  <colItems count="1">
    <i/>
  </colItems>
  <dataFields count="1">
    <dataField name="Cuenta de ABONADO_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28" totalsRowShown="0">
  <autoFilter ref="A15:AC28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8" name="Table279" displayName="Table279" ref="A15:AD81" totalsRowShown="0">
  <autoFilter ref="A15:AD81"/>
  <tableColumns count="30">
    <tableColumn id="1" name="ABONADO_A" dataDxfId="8"/>
    <tableColumn id="2" name="ABONADO_B" dataDxfId="7"/>
    <tableColumn id="3" name="FECHA" dataDxfId="6"/>
    <tableColumn id="4" name="HORA" dataDxfId="5"/>
    <tableColumn id="5" name="DURACION" dataDxfId="4"/>
    <tableColumn id="6" name="TIPO_CDR"/>
    <tableColumn id="7" name="TRANSACCION"/>
    <tableColumn id="30" name="Tipo Transaccion" dataDxfId="3">
      <calculatedColumnFormula>CONCATENATE(Table279[[#This Row],[TIPO_CDR]]," ",Table279[[#This Row],[TRANSACCION]])</calculatedColumnFormula>
    </tableColumn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  <tableColumn id="8" name="IMEI_ABONADO_A" dataDxfId="2"/>
    <tableColumn id="9" name="IMSI_ABONADO_A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6" name="Table27" displayName="Table27" ref="A1:AD67" totalsRowShown="0">
  <autoFilter ref="A1:AD67"/>
  <tableColumns count="30">
    <tableColumn id="1" name="ABONADO_A" dataDxfId="22"/>
    <tableColumn id="2" name="ABONADO_B" dataDxfId="21"/>
    <tableColumn id="3" name="FECHA" dataDxfId="17"/>
    <tableColumn id="4" name="HORA" dataDxfId="16"/>
    <tableColumn id="5" name="DURACION" dataDxfId="20"/>
    <tableColumn id="6" name="TIPO_CDR"/>
    <tableColumn id="7" name="TRANSACCION"/>
    <tableColumn id="30" name="Tipo Transaccion" dataDxfId="18">
      <calculatedColumnFormula>CONCATENATE(Table27[[#This Row],[TIPO_CDR]]," ",Table27[[#This Row],[TRANSACCION]])</calculatedColumnFormula>
    </tableColumn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  <tableColumn id="8" name="IMEI_ABONADO_A" dataDxfId="19"/>
    <tableColumn id="9" name="IMSI_ABONADO_A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9" name="Tabla9" displayName="Tabla9" ref="A1:AD13" totalsRowShown="0">
  <autoFilter ref="A1:AD13"/>
  <tableColumns count="30">
    <tableColumn id="1" name="ABONADO_A"/>
    <tableColumn id="2" name="ABONADO_B"/>
    <tableColumn id="3" name="FECHA" dataDxfId="1"/>
    <tableColumn id="4" name="HORA" dataDxfId="0"/>
    <tableColumn id="5" name="DURACION"/>
    <tableColumn id="6" name="TIPO_CDR"/>
    <tableColumn id="7" name="TRANSACCION"/>
    <tableColumn id="8" name="Tipo Transaccion"/>
    <tableColumn id="9" name="DIRECCION_INICIAL_A"/>
    <tableColumn id="10" name="LATITUD_INICIAL_A"/>
    <tableColumn id="11" name="LONGITUD_INICIAL_A"/>
    <tableColumn id="12" name="DIRECCION_FINAL_A"/>
    <tableColumn id="13" name="LATITUD_FINAL_A"/>
    <tableColumn id="14" name="LONGITUD_FINAL_A"/>
    <tableColumn id="15" name="IMEI_ABONADO_B"/>
    <tableColumn id="16" name="IMSI_ABONADO_B"/>
    <tableColumn id="17" name="DIRECCION_INICIAL_B"/>
    <tableColumn id="18" name="LATITUD_INICIAL_B"/>
    <tableColumn id="19" name="LONGITUD_INICIAL_B"/>
    <tableColumn id="20" name="DIRECCION_FINAL_B"/>
    <tableColumn id="21" name="LATITUD_FINAL_B"/>
    <tableColumn id="22" name="LONGITUD_FINAL_B"/>
    <tableColumn id="23" name="CARRIER_A"/>
    <tableColumn id="24" name="CARRIER_B"/>
    <tableColumn id="25" name="IN_TRUNK_ID_ORIG"/>
    <tableColumn id="26" name="OUT_TRUNK_ID_ORIG"/>
    <tableColumn id="27" name="IN_TRUNK_ID_TERM"/>
    <tableColumn id="28" name="OUT_TRUNK_ID_TERM"/>
    <tableColumn id="29" name="IMEI_ABONADO_A"/>
    <tableColumn id="30" name="IMSI_ABONADO_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able278" displayName="Table278" ref="A1:AD133" totalsRowShown="0">
  <autoFilter ref="A1:AD133"/>
  <tableColumns count="30">
    <tableColumn id="1" name="ABONADO_A" dataDxfId="15"/>
    <tableColumn id="2" name="ABONADO_B" dataDxfId="14"/>
    <tableColumn id="3" name="FECHA" dataDxfId="13"/>
    <tableColumn id="4" name="HORA" dataDxfId="12"/>
    <tableColumn id="5" name="DURACION" dataDxfId="11"/>
    <tableColumn id="6" name="TIPO_CDR"/>
    <tableColumn id="7" name="TRANSACCION"/>
    <tableColumn id="30" name="Tipo Transaccion" dataDxfId="10">
      <calculatedColumnFormula>CONCATENATE(Table278[[#This Row],[TIPO_CDR]]," ",Table278[[#This Row],[TRANSACCION]])</calculatedColumnFormula>
    </tableColumn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  <tableColumn id="8" name="IMEI_ABONADO_A" dataDxfId="9"/>
    <tableColumn id="9" name="IMSI_ABONADO_A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8.xml><?xml version="1.0" encoding="utf-8"?>
<table xmlns="http://schemas.openxmlformats.org/spreadsheetml/2006/main" id="4" name="Table4" displayName="Table4" ref="A15:H68" totalsRowShown="0">
  <autoFilter ref="A15:H68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topLeftCell="A14" workbookViewId="0">
      <selection activeCell="A14" sqref="A14"/>
    </sheetView>
  </sheetViews>
  <sheetFormatPr baseColWidth="10" defaultColWidth="9.140625" defaultRowHeight="15" x14ac:dyDescent="0.2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4" spans="1:29" x14ac:dyDescent="0.25">
      <c r="A4" s="2" t="s">
        <v>2</v>
      </c>
      <c r="B4" s="2">
        <v>114914</v>
      </c>
    </row>
    <row r="5" spans="1:29" x14ac:dyDescent="0.25">
      <c r="A5" s="2" t="s">
        <v>3</v>
      </c>
      <c r="B5" s="2" t="s">
        <v>4</v>
      </c>
    </row>
    <row r="6" spans="1:29" x14ac:dyDescent="0.25">
      <c r="A6" s="2" t="s">
        <v>5</v>
      </c>
      <c r="B6" s="2" t="s">
        <v>6</v>
      </c>
    </row>
    <row r="7" spans="1:29" x14ac:dyDescent="0.25">
      <c r="A7" s="2" t="s">
        <v>7</v>
      </c>
      <c r="B7" s="2" t="s">
        <v>8</v>
      </c>
    </row>
    <row r="8" spans="1:29" x14ac:dyDescent="0.25">
      <c r="A8" s="2" t="s">
        <v>9</v>
      </c>
      <c r="B8" s="2" t="s">
        <v>4</v>
      </c>
    </row>
    <row r="9" spans="1:29" ht="25.5" x14ac:dyDescent="0.25">
      <c r="A9" s="2" t="s">
        <v>10</v>
      </c>
      <c r="B9" s="2" t="s">
        <v>11</v>
      </c>
    </row>
    <row r="10" spans="1:29" x14ac:dyDescent="0.25">
      <c r="A10" s="2" t="s">
        <v>12</v>
      </c>
      <c r="B10" s="2">
        <v>13</v>
      </c>
    </row>
    <row r="13" spans="1:29" x14ac:dyDescent="0.25">
      <c r="A13" s="1" t="s">
        <v>13</v>
      </c>
    </row>
    <row r="15" spans="1:29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  <c r="W15" t="s">
        <v>108</v>
      </c>
      <c r="X15" t="s">
        <v>109</v>
      </c>
      <c r="Y15" t="s">
        <v>110</v>
      </c>
      <c r="Z15" t="s">
        <v>111</v>
      </c>
      <c r="AA15" t="s">
        <v>112</v>
      </c>
      <c r="AB15" t="s">
        <v>113</v>
      </c>
      <c r="AC15" t="s">
        <v>114</v>
      </c>
    </row>
    <row r="16" spans="1:29" ht="38.25" x14ac:dyDescent="0.25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21</v>
      </c>
      <c r="J16" s="3" t="s">
        <v>22</v>
      </c>
      <c r="K16" s="3" t="s">
        <v>23</v>
      </c>
      <c r="L16" s="3" t="s">
        <v>23</v>
      </c>
      <c r="M16" s="3" t="s">
        <v>22</v>
      </c>
      <c r="N16" s="3" t="s">
        <v>23</v>
      </c>
      <c r="O16" s="3" t="s">
        <v>23</v>
      </c>
      <c r="P16" s="3" t="s">
        <v>24</v>
      </c>
      <c r="Q16" s="3" t="s">
        <v>25</v>
      </c>
      <c r="R16" s="3" t="s">
        <v>26</v>
      </c>
      <c r="S16" s="3" t="s">
        <v>27</v>
      </c>
      <c r="T16" s="3" t="s">
        <v>28</v>
      </c>
      <c r="U16" s="3" t="s">
        <v>26</v>
      </c>
      <c r="V16" s="3" t="s">
        <v>27</v>
      </c>
      <c r="W16" s="3" t="s">
        <v>28</v>
      </c>
      <c r="X16" s="3" t="s">
        <v>29</v>
      </c>
      <c r="Y16" s="3" t="s">
        <v>29</v>
      </c>
      <c r="Z16" s="3" t="s">
        <v>30</v>
      </c>
      <c r="AA16" s="3" t="s">
        <v>21</v>
      </c>
      <c r="AB16" s="3" t="s">
        <v>30</v>
      </c>
      <c r="AC16" s="3" t="s">
        <v>21</v>
      </c>
    </row>
    <row r="17" spans="1:29" ht="38.25" x14ac:dyDescent="0.25">
      <c r="A17" s="3" t="s">
        <v>31</v>
      </c>
      <c r="B17" s="3" t="s">
        <v>15</v>
      </c>
      <c r="C17" s="3" t="s">
        <v>16</v>
      </c>
      <c r="D17" s="3" t="s">
        <v>32</v>
      </c>
      <c r="E17" s="3" t="s">
        <v>33</v>
      </c>
      <c r="F17" s="3" t="s">
        <v>19</v>
      </c>
      <c r="G17" s="3" t="s">
        <v>20</v>
      </c>
      <c r="H17" s="3" t="s">
        <v>34</v>
      </c>
      <c r="I17" s="3" t="s">
        <v>35</v>
      </c>
      <c r="J17" s="3" t="s">
        <v>36</v>
      </c>
      <c r="K17" s="3" t="s">
        <v>37</v>
      </c>
      <c r="L17" s="3" t="s">
        <v>38</v>
      </c>
      <c r="M17" s="3" t="s">
        <v>39</v>
      </c>
      <c r="N17" s="3" t="s">
        <v>37</v>
      </c>
      <c r="O17" s="3" t="s">
        <v>38</v>
      </c>
      <c r="P17" s="3" t="s">
        <v>24</v>
      </c>
      <c r="Q17" s="3" t="s">
        <v>25</v>
      </c>
      <c r="R17" s="3" t="s">
        <v>40</v>
      </c>
      <c r="S17" s="3" t="s">
        <v>27</v>
      </c>
      <c r="T17" s="3" t="s">
        <v>28</v>
      </c>
      <c r="U17" s="3" t="s">
        <v>26</v>
      </c>
      <c r="V17" s="3" t="s">
        <v>27</v>
      </c>
      <c r="W17" s="3" t="s">
        <v>28</v>
      </c>
      <c r="X17" s="3" t="s">
        <v>41</v>
      </c>
      <c r="Y17" s="3" t="s">
        <v>41</v>
      </c>
      <c r="Z17" s="3" t="s">
        <v>21</v>
      </c>
      <c r="AA17" s="3" t="s">
        <v>21</v>
      </c>
      <c r="AB17" s="3" t="s">
        <v>21</v>
      </c>
      <c r="AC17" s="3" t="s">
        <v>21</v>
      </c>
    </row>
    <row r="18" spans="1:29" ht="25.5" x14ac:dyDescent="0.25">
      <c r="A18" s="3" t="s">
        <v>15</v>
      </c>
      <c r="B18" s="3" t="s">
        <v>31</v>
      </c>
      <c r="C18" s="3" t="s">
        <v>42</v>
      </c>
      <c r="D18" s="3" t="s">
        <v>43</v>
      </c>
      <c r="E18" s="3" t="s">
        <v>44</v>
      </c>
      <c r="F18" s="3" t="s">
        <v>19</v>
      </c>
      <c r="G18" s="3" t="s">
        <v>45</v>
      </c>
      <c r="H18" s="3" t="s">
        <v>24</v>
      </c>
      <c r="I18" s="3" t="s">
        <v>25</v>
      </c>
      <c r="J18" s="3" t="s">
        <v>46</v>
      </c>
      <c r="K18" s="3" t="s">
        <v>47</v>
      </c>
      <c r="L18" s="3" t="s">
        <v>48</v>
      </c>
      <c r="M18" s="3" t="s">
        <v>46</v>
      </c>
      <c r="N18" s="3" t="s">
        <v>47</v>
      </c>
      <c r="O18" s="3" t="s">
        <v>48</v>
      </c>
      <c r="P18" s="3" t="s">
        <v>34</v>
      </c>
      <c r="Q18" s="3" t="s">
        <v>35</v>
      </c>
      <c r="R18" s="3" t="s">
        <v>49</v>
      </c>
      <c r="S18" s="3" t="s">
        <v>47</v>
      </c>
      <c r="T18" s="3" t="s">
        <v>48</v>
      </c>
      <c r="U18" s="3" t="s">
        <v>49</v>
      </c>
      <c r="V18" s="3" t="s">
        <v>47</v>
      </c>
      <c r="W18" s="3" t="s">
        <v>48</v>
      </c>
      <c r="X18" s="3" t="s">
        <v>41</v>
      </c>
      <c r="Y18" s="3" t="s">
        <v>41</v>
      </c>
      <c r="Z18" s="3" t="s">
        <v>21</v>
      </c>
      <c r="AA18" s="3" t="s">
        <v>21</v>
      </c>
      <c r="AB18" s="3" t="s">
        <v>21</v>
      </c>
      <c r="AC18" s="3" t="s">
        <v>21</v>
      </c>
    </row>
    <row r="19" spans="1:29" ht="25.5" x14ac:dyDescent="0.25">
      <c r="A19" s="3" t="s">
        <v>15</v>
      </c>
      <c r="B19" s="3" t="s">
        <v>31</v>
      </c>
      <c r="C19" s="3" t="s">
        <v>42</v>
      </c>
      <c r="D19" s="3" t="s">
        <v>50</v>
      </c>
      <c r="E19" s="3" t="s">
        <v>51</v>
      </c>
      <c r="F19" s="3" t="s">
        <v>19</v>
      </c>
      <c r="G19" s="3" t="s">
        <v>45</v>
      </c>
      <c r="H19" s="3" t="s">
        <v>24</v>
      </c>
      <c r="I19" s="3" t="s">
        <v>25</v>
      </c>
      <c r="J19" s="3" t="s">
        <v>46</v>
      </c>
      <c r="K19" s="3" t="s">
        <v>47</v>
      </c>
      <c r="L19" s="3" t="s">
        <v>48</v>
      </c>
      <c r="M19" s="3" t="s">
        <v>46</v>
      </c>
      <c r="N19" s="3" t="s">
        <v>47</v>
      </c>
      <c r="O19" s="3" t="s">
        <v>48</v>
      </c>
      <c r="P19" s="3" t="s">
        <v>34</v>
      </c>
      <c r="Q19" s="3" t="s">
        <v>35</v>
      </c>
      <c r="R19" s="3" t="s">
        <v>49</v>
      </c>
      <c r="S19" s="3" t="s">
        <v>47</v>
      </c>
      <c r="T19" s="3" t="s">
        <v>48</v>
      </c>
      <c r="U19" s="3" t="s">
        <v>49</v>
      </c>
      <c r="V19" s="3" t="s">
        <v>47</v>
      </c>
      <c r="W19" s="3" t="s">
        <v>48</v>
      </c>
      <c r="X19" s="3" t="s">
        <v>41</v>
      </c>
      <c r="Y19" s="3" t="s">
        <v>41</v>
      </c>
      <c r="Z19" s="3" t="s">
        <v>21</v>
      </c>
      <c r="AA19" s="3" t="s">
        <v>21</v>
      </c>
      <c r="AB19" s="3" t="s">
        <v>21</v>
      </c>
      <c r="AC19" s="3" t="s">
        <v>21</v>
      </c>
    </row>
    <row r="20" spans="1:29" ht="38.25" x14ac:dyDescent="0.25">
      <c r="A20" s="3" t="s">
        <v>52</v>
      </c>
      <c r="B20" s="3" t="s">
        <v>15</v>
      </c>
      <c r="C20" s="3" t="s">
        <v>42</v>
      </c>
      <c r="D20" s="3" t="s">
        <v>53</v>
      </c>
      <c r="E20" s="3" t="s">
        <v>54</v>
      </c>
      <c r="F20" s="3" t="s">
        <v>19</v>
      </c>
      <c r="G20" s="3" t="s">
        <v>20</v>
      </c>
      <c r="H20" s="3" t="s">
        <v>21</v>
      </c>
      <c r="I20" s="3" t="s">
        <v>21</v>
      </c>
      <c r="J20" s="3" t="s">
        <v>22</v>
      </c>
      <c r="K20" s="3" t="s">
        <v>23</v>
      </c>
      <c r="L20" s="3" t="s">
        <v>23</v>
      </c>
      <c r="M20" s="3" t="s">
        <v>22</v>
      </c>
      <c r="N20" s="3" t="s">
        <v>23</v>
      </c>
      <c r="O20" s="3" t="s">
        <v>23</v>
      </c>
      <c r="P20" s="3" t="s">
        <v>24</v>
      </c>
      <c r="Q20" s="3" t="s">
        <v>25</v>
      </c>
      <c r="R20" s="3" t="s">
        <v>55</v>
      </c>
      <c r="S20" s="3" t="s">
        <v>27</v>
      </c>
      <c r="T20" s="3" t="s">
        <v>28</v>
      </c>
      <c r="U20" s="3" t="s">
        <v>40</v>
      </c>
      <c r="V20" s="3" t="s">
        <v>27</v>
      </c>
      <c r="W20" s="3" t="s">
        <v>28</v>
      </c>
      <c r="X20" s="3" t="s">
        <v>56</v>
      </c>
      <c r="Y20" s="3" t="s">
        <v>56</v>
      </c>
      <c r="Z20" s="3" t="s">
        <v>57</v>
      </c>
      <c r="AA20" s="3" t="s">
        <v>21</v>
      </c>
      <c r="AB20" s="3" t="s">
        <v>57</v>
      </c>
      <c r="AC20" s="3" t="s">
        <v>21</v>
      </c>
    </row>
    <row r="21" spans="1:29" ht="38.25" x14ac:dyDescent="0.25">
      <c r="A21" s="3" t="s">
        <v>31</v>
      </c>
      <c r="B21" s="3" t="s">
        <v>15</v>
      </c>
      <c r="C21" s="3" t="s">
        <v>58</v>
      </c>
      <c r="D21" s="3" t="s">
        <v>59</v>
      </c>
      <c r="E21" s="3" t="s">
        <v>60</v>
      </c>
      <c r="F21" s="3" t="s">
        <v>19</v>
      </c>
      <c r="G21" s="3" t="s">
        <v>20</v>
      </c>
      <c r="H21" s="3" t="s">
        <v>34</v>
      </c>
      <c r="I21" s="3" t="s">
        <v>35</v>
      </c>
      <c r="J21" s="3" t="s">
        <v>36</v>
      </c>
      <c r="K21" s="3" t="s">
        <v>37</v>
      </c>
      <c r="L21" s="3" t="s">
        <v>38</v>
      </c>
      <c r="M21" s="3" t="s">
        <v>61</v>
      </c>
      <c r="N21" s="3" t="s">
        <v>37</v>
      </c>
      <c r="O21" s="3" t="s">
        <v>38</v>
      </c>
      <c r="P21" s="3" t="s">
        <v>24</v>
      </c>
      <c r="Q21" s="3" t="s">
        <v>25</v>
      </c>
      <c r="R21" s="3" t="s">
        <v>40</v>
      </c>
      <c r="S21" s="3" t="s">
        <v>27</v>
      </c>
      <c r="T21" s="3" t="s">
        <v>28</v>
      </c>
      <c r="U21" s="3" t="s">
        <v>55</v>
      </c>
      <c r="V21" s="3" t="s">
        <v>27</v>
      </c>
      <c r="W21" s="3" t="s">
        <v>28</v>
      </c>
      <c r="X21" s="3" t="s">
        <v>41</v>
      </c>
      <c r="Y21" s="3" t="s">
        <v>41</v>
      </c>
      <c r="Z21" s="3" t="s">
        <v>21</v>
      </c>
      <c r="AA21" s="3" t="s">
        <v>21</v>
      </c>
      <c r="AB21" s="3" t="s">
        <v>21</v>
      </c>
      <c r="AC21" s="3" t="s">
        <v>21</v>
      </c>
    </row>
    <row r="22" spans="1:29" ht="38.25" x14ac:dyDescent="0.25">
      <c r="A22" s="3" t="s">
        <v>31</v>
      </c>
      <c r="B22" s="3" t="s">
        <v>15</v>
      </c>
      <c r="C22" s="3" t="s">
        <v>58</v>
      </c>
      <c r="D22" s="3" t="s">
        <v>62</v>
      </c>
      <c r="E22" s="3" t="s">
        <v>63</v>
      </c>
      <c r="F22" s="3" t="s">
        <v>19</v>
      </c>
      <c r="G22" s="3" t="s">
        <v>20</v>
      </c>
      <c r="H22" s="3" t="s">
        <v>34</v>
      </c>
      <c r="I22" s="3" t="s">
        <v>35</v>
      </c>
      <c r="J22" s="3" t="s">
        <v>36</v>
      </c>
      <c r="K22" s="3" t="s">
        <v>37</v>
      </c>
      <c r="L22" s="3" t="s">
        <v>38</v>
      </c>
      <c r="M22" s="3" t="s">
        <v>39</v>
      </c>
      <c r="N22" s="3" t="s">
        <v>37</v>
      </c>
      <c r="O22" s="3" t="s">
        <v>38</v>
      </c>
      <c r="P22" s="3" t="s">
        <v>24</v>
      </c>
      <c r="Q22" s="3" t="s">
        <v>25</v>
      </c>
      <c r="R22" s="3" t="s">
        <v>40</v>
      </c>
      <c r="S22" s="3" t="s">
        <v>27</v>
      </c>
      <c r="T22" s="3" t="s">
        <v>28</v>
      </c>
      <c r="U22" s="3" t="s">
        <v>26</v>
      </c>
      <c r="V22" s="3" t="s">
        <v>27</v>
      </c>
      <c r="W22" s="3" t="s">
        <v>28</v>
      </c>
      <c r="X22" s="3" t="s">
        <v>41</v>
      </c>
      <c r="Y22" s="3" t="s">
        <v>41</v>
      </c>
      <c r="Z22" s="3" t="s">
        <v>21</v>
      </c>
      <c r="AA22" s="3" t="s">
        <v>21</v>
      </c>
      <c r="AB22" s="3" t="s">
        <v>21</v>
      </c>
      <c r="AC22" s="3" t="s">
        <v>21</v>
      </c>
    </row>
    <row r="23" spans="1:29" ht="38.25" x14ac:dyDescent="0.25">
      <c r="A23" s="3" t="s">
        <v>31</v>
      </c>
      <c r="B23" s="3" t="s">
        <v>15</v>
      </c>
      <c r="C23" s="3" t="s">
        <v>58</v>
      </c>
      <c r="D23" s="3" t="s">
        <v>64</v>
      </c>
      <c r="E23" s="3" t="s">
        <v>65</v>
      </c>
      <c r="F23" s="3" t="s">
        <v>19</v>
      </c>
      <c r="G23" s="3" t="s">
        <v>20</v>
      </c>
      <c r="H23" s="3" t="s">
        <v>34</v>
      </c>
      <c r="I23" s="3" t="s">
        <v>35</v>
      </c>
      <c r="J23" s="3" t="s">
        <v>36</v>
      </c>
      <c r="K23" s="3" t="s">
        <v>37</v>
      </c>
      <c r="L23" s="3" t="s">
        <v>38</v>
      </c>
      <c r="M23" s="3" t="s">
        <v>39</v>
      </c>
      <c r="N23" s="3" t="s">
        <v>37</v>
      </c>
      <c r="O23" s="3" t="s">
        <v>38</v>
      </c>
      <c r="P23" s="3" t="s">
        <v>24</v>
      </c>
      <c r="Q23" s="3" t="s">
        <v>25</v>
      </c>
      <c r="R23" s="3" t="s">
        <v>26</v>
      </c>
      <c r="S23" s="3" t="s">
        <v>27</v>
      </c>
      <c r="T23" s="3" t="s">
        <v>28</v>
      </c>
      <c r="U23" s="3" t="s">
        <v>26</v>
      </c>
      <c r="V23" s="3" t="s">
        <v>27</v>
      </c>
      <c r="W23" s="3" t="s">
        <v>28</v>
      </c>
      <c r="X23" s="3" t="s">
        <v>41</v>
      </c>
      <c r="Y23" s="3" t="s">
        <v>41</v>
      </c>
      <c r="Z23" s="3" t="s">
        <v>21</v>
      </c>
      <c r="AA23" s="3" t="s">
        <v>21</v>
      </c>
      <c r="AB23" s="3" t="s">
        <v>21</v>
      </c>
      <c r="AC23" s="3" t="s">
        <v>21</v>
      </c>
    </row>
    <row r="24" spans="1:29" ht="38.25" x14ac:dyDescent="0.25">
      <c r="A24" s="3" t="s">
        <v>31</v>
      </c>
      <c r="B24" s="3" t="s">
        <v>15</v>
      </c>
      <c r="C24" s="3" t="s">
        <v>58</v>
      </c>
      <c r="D24" s="3" t="s">
        <v>66</v>
      </c>
      <c r="E24" s="3" t="s">
        <v>67</v>
      </c>
      <c r="F24" s="3" t="s">
        <v>19</v>
      </c>
      <c r="G24" s="3" t="s">
        <v>20</v>
      </c>
      <c r="H24" s="3" t="s">
        <v>34</v>
      </c>
      <c r="I24" s="3" t="s">
        <v>35</v>
      </c>
      <c r="J24" s="3" t="s">
        <v>36</v>
      </c>
      <c r="K24" s="3" t="s">
        <v>37</v>
      </c>
      <c r="L24" s="3" t="s">
        <v>38</v>
      </c>
      <c r="M24" s="3" t="s">
        <v>61</v>
      </c>
      <c r="N24" s="3" t="s">
        <v>37</v>
      </c>
      <c r="O24" s="3" t="s">
        <v>38</v>
      </c>
      <c r="P24" s="3" t="s">
        <v>24</v>
      </c>
      <c r="Q24" s="3" t="s">
        <v>25</v>
      </c>
      <c r="R24" s="3" t="s">
        <v>40</v>
      </c>
      <c r="S24" s="3" t="s">
        <v>27</v>
      </c>
      <c r="T24" s="3" t="s">
        <v>28</v>
      </c>
      <c r="U24" s="3" t="s">
        <v>40</v>
      </c>
      <c r="V24" s="3" t="s">
        <v>27</v>
      </c>
      <c r="W24" s="3" t="s">
        <v>28</v>
      </c>
      <c r="X24" s="3" t="s">
        <v>41</v>
      </c>
      <c r="Y24" s="3" t="s">
        <v>41</v>
      </c>
      <c r="Z24" s="3" t="s">
        <v>21</v>
      </c>
      <c r="AA24" s="3" t="s">
        <v>21</v>
      </c>
      <c r="AB24" s="3" t="s">
        <v>21</v>
      </c>
      <c r="AC24" s="3" t="s">
        <v>21</v>
      </c>
    </row>
    <row r="25" spans="1:29" ht="38.25" x14ac:dyDescent="0.25">
      <c r="A25" s="3" t="s">
        <v>31</v>
      </c>
      <c r="B25" s="3" t="s">
        <v>15</v>
      </c>
      <c r="C25" s="3" t="s">
        <v>68</v>
      </c>
      <c r="D25" s="3" t="s">
        <v>69</v>
      </c>
      <c r="E25" s="3" t="s">
        <v>70</v>
      </c>
      <c r="F25" s="3" t="s">
        <v>19</v>
      </c>
      <c r="G25" s="3" t="s">
        <v>20</v>
      </c>
      <c r="H25" s="3" t="s">
        <v>34</v>
      </c>
      <c r="I25" s="3" t="s">
        <v>35</v>
      </c>
      <c r="J25" s="3" t="s">
        <v>26</v>
      </c>
      <c r="K25" s="3" t="s">
        <v>27</v>
      </c>
      <c r="L25" s="3" t="s">
        <v>28</v>
      </c>
      <c r="M25" s="3" t="s">
        <v>26</v>
      </c>
      <c r="N25" s="3" t="s">
        <v>27</v>
      </c>
      <c r="O25" s="3" t="s">
        <v>28</v>
      </c>
      <c r="P25" s="3" t="s">
        <v>24</v>
      </c>
      <c r="Q25" s="3" t="s">
        <v>25</v>
      </c>
      <c r="R25" s="3" t="s">
        <v>40</v>
      </c>
      <c r="S25" s="3" t="s">
        <v>27</v>
      </c>
      <c r="T25" s="3" t="s">
        <v>28</v>
      </c>
      <c r="U25" s="3" t="s">
        <v>40</v>
      </c>
      <c r="V25" s="3" t="s">
        <v>27</v>
      </c>
      <c r="W25" s="3" t="s">
        <v>28</v>
      </c>
      <c r="X25" s="3" t="s">
        <v>41</v>
      </c>
      <c r="Y25" s="3" t="s">
        <v>41</v>
      </c>
      <c r="Z25" s="3" t="s">
        <v>21</v>
      </c>
      <c r="AA25" s="3" t="s">
        <v>21</v>
      </c>
      <c r="AB25" s="3" t="s">
        <v>21</v>
      </c>
      <c r="AC25" s="3" t="s">
        <v>21</v>
      </c>
    </row>
    <row r="26" spans="1:29" ht="38.25" x14ac:dyDescent="0.25">
      <c r="A26" s="3" t="s">
        <v>31</v>
      </c>
      <c r="B26" s="3" t="s">
        <v>15</v>
      </c>
      <c r="C26" s="3" t="s">
        <v>71</v>
      </c>
      <c r="D26" s="3" t="s">
        <v>72</v>
      </c>
      <c r="E26" s="3" t="s">
        <v>73</v>
      </c>
      <c r="F26" s="3" t="s">
        <v>19</v>
      </c>
      <c r="G26" s="3" t="s">
        <v>20</v>
      </c>
      <c r="H26" s="3" t="s">
        <v>34</v>
      </c>
      <c r="I26" s="3" t="s">
        <v>35</v>
      </c>
      <c r="J26" s="3" t="s">
        <v>74</v>
      </c>
      <c r="K26" s="3" t="s">
        <v>75</v>
      </c>
      <c r="L26" s="3" t="s">
        <v>76</v>
      </c>
      <c r="M26" s="3" t="s">
        <v>74</v>
      </c>
      <c r="N26" s="3" t="s">
        <v>75</v>
      </c>
      <c r="O26" s="3" t="s">
        <v>76</v>
      </c>
      <c r="P26" s="3" t="s">
        <v>24</v>
      </c>
      <c r="Q26" s="3" t="s">
        <v>25</v>
      </c>
      <c r="R26" s="3" t="s">
        <v>55</v>
      </c>
      <c r="S26" s="3" t="s">
        <v>27</v>
      </c>
      <c r="T26" s="3" t="s">
        <v>28</v>
      </c>
      <c r="U26" s="3" t="s">
        <v>40</v>
      </c>
      <c r="V26" s="3" t="s">
        <v>27</v>
      </c>
      <c r="W26" s="3" t="s">
        <v>28</v>
      </c>
      <c r="X26" s="3" t="s">
        <v>41</v>
      </c>
      <c r="Y26" s="3" t="s">
        <v>41</v>
      </c>
      <c r="Z26" s="3" t="s">
        <v>21</v>
      </c>
      <c r="AA26" s="3" t="s">
        <v>21</v>
      </c>
      <c r="AB26" s="3" t="s">
        <v>21</v>
      </c>
      <c r="AC26" s="3" t="s">
        <v>21</v>
      </c>
    </row>
    <row r="27" spans="1:29" ht="38.25" x14ac:dyDescent="0.25">
      <c r="A27" s="3" t="s">
        <v>31</v>
      </c>
      <c r="B27" s="3" t="s">
        <v>15</v>
      </c>
      <c r="C27" s="3" t="s">
        <v>77</v>
      </c>
      <c r="D27" s="3" t="s">
        <v>78</v>
      </c>
      <c r="E27" s="3" t="s">
        <v>79</v>
      </c>
      <c r="F27" s="3" t="s">
        <v>19</v>
      </c>
      <c r="G27" s="3" t="s">
        <v>20</v>
      </c>
      <c r="H27" s="3" t="s">
        <v>34</v>
      </c>
      <c r="I27" s="3" t="s">
        <v>35</v>
      </c>
      <c r="J27" s="3" t="s">
        <v>36</v>
      </c>
      <c r="K27" s="3" t="s">
        <v>37</v>
      </c>
      <c r="L27" s="3" t="s">
        <v>38</v>
      </c>
      <c r="M27" s="3" t="s">
        <v>61</v>
      </c>
      <c r="N27" s="3" t="s">
        <v>37</v>
      </c>
      <c r="O27" s="3" t="s">
        <v>38</v>
      </c>
      <c r="P27" s="3" t="s">
        <v>24</v>
      </c>
      <c r="Q27" s="3" t="s">
        <v>25</v>
      </c>
      <c r="R27" s="3" t="s">
        <v>26</v>
      </c>
      <c r="S27" s="3" t="s">
        <v>27</v>
      </c>
      <c r="T27" s="3" t="s">
        <v>28</v>
      </c>
      <c r="U27" s="3" t="s">
        <v>80</v>
      </c>
      <c r="V27" s="3" t="s">
        <v>81</v>
      </c>
      <c r="W27" s="3" t="s">
        <v>82</v>
      </c>
      <c r="X27" s="3" t="s">
        <v>41</v>
      </c>
      <c r="Y27" s="3" t="s">
        <v>41</v>
      </c>
      <c r="Z27" s="3" t="s">
        <v>21</v>
      </c>
      <c r="AA27" s="3" t="s">
        <v>21</v>
      </c>
      <c r="AB27" s="3" t="s">
        <v>21</v>
      </c>
      <c r="AC27" s="3" t="s">
        <v>21</v>
      </c>
    </row>
    <row r="28" spans="1:29" ht="38.25" x14ac:dyDescent="0.25">
      <c r="A28" s="3" t="s">
        <v>31</v>
      </c>
      <c r="B28" s="3" t="s">
        <v>15</v>
      </c>
      <c r="C28" s="3" t="s">
        <v>83</v>
      </c>
      <c r="D28" s="3" t="s">
        <v>84</v>
      </c>
      <c r="E28" s="3" t="s">
        <v>85</v>
      </c>
      <c r="F28" s="3" t="s">
        <v>19</v>
      </c>
      <c r="G28" s="3" t="s">
        <v>20</v>
      </c>
      <c r="H28" s="3" t="s">
        <v>34</v>
      </c>
      <c r="I28" s="3" t="s">
        <v>35</v>
      </c>
      <c r="J28" s="3" t="s">
        <v>61</v>
      </c>
      <c r="K28" s="3" t="s">
        <v>37</v>
      </c>
      <c r="L28" s="3" t="s">
        <v>38</v>
      </c>
      <c r="M28" s="3" t="s">
        <v>61</v>
      </c>
      <c r="N28" s="3" t="s">
        <v>37</v>
      </c>
      <c r="O28" s="3" t="s">
        <v>38</v>
      </c>
      <c r="P28" s="3" t="s">
        <v>24</v>
      </c>
      <c r="Q28" s="3" t="s">
        <v>25</v>
      </c>
      <c r="R28" s="3" t="s">
        <v>40</v>
      </c>
      <c r="S28" s="3" t="s">
        <v>27</v>
      </c>
      <c r="T28" s="3" t="s">
        <v>28</v>
      </c>
      <c r="U28" s="3" t="s">
        <v>40</v>
      </c>
      <c r="V28" s="3" t="s">
        <v>27</v>
      </c>
      <c r="W28" s="3" t="s">
        <v>28</v>
      </c>
      <c r="X28" s="3" t="s">
        <v>41</v>
      </c>
      <c r="Y28" s="3" t="s">
        <v>41</v>
      </c>
      <c r="Z28" s="3" t="s">
        <v>21</v>
      </c>
      <c r="AA28" s="3" t="s">
        <v>21</v>
      </c>
      <c r="AB28" s="3" t="s">
        <v>21</v>
      </c>
      <c r="AC28" s="3" t="s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D81"/>
  <sheetViews>
    <sheetView workbookViewId="0">
      <selection activeCell="B13" sqref="B13"/>
    </sheetView>
  </sheetViews>
  <sheetFormatPr baseColWidth="10" defaultColWidth="14.7109375" defaultRowHeight="14.1" customHeight="1" x14ac:dyDescent="0.25"/>
  <sheetData>
    <row r="15" spans="1:30" ht="14.1" customHeight="1" x14ac:dyDescent="0.25">
      <c r="A15" t="s">
        <v>86</v>
      </c>
      <c r="B15" t="s">
        <v>87</v>
      </c>
      <c r="C15" s="10" t="s">
        <v>88</v>
      </c>
      <c r="D15" s="11" t="s">
        <v>89</v>
      </c>
      <c r="E15" t="s">
        <v>90</v>
      </c>
      <c r="F15" t="s">
        <v>91</v>
      </c>
      <c r="G15" t="s">
        <v>92</v>
      </c>
      <c r="H15" t="s">
        <v>256</v>
      </c>
      <c r="I15" t="s">
        <v>95</v>
      </c>
      <c r="J15" t="s">
        <v>96</v>
      </c>
      <c r="K15" t="s">
        <v>97</v>
      </c>
      <c r="L15" t="s">
        <v>98</v>
      </c>
      <c r="M15" t="s">
        <v>99</v>
      </c>
      <c r="N15" t="s">
        <v>100</v>
      </c>
      <c r="O15" t="s">
        <v>101</v>
      </c>
      <c r="P15" t="s">
        <v>102</v>
      </c>
      <c r="Q15" t="s">
        <v>103</v>
      </c>
      <c r="R15" t="s">
        <v>104</v>
      </c>
      <c r="S15" t="s">
        <v>105</v>
      </c>
      <c r="T15" t="s">
        <v>106</v>
      </c>
      <c r="U15" t="s">
        <v>107</v>
      </c>
      <c r="V15" t="s">
        <v>108</v>
      </c>
      <c r="W15" t="s">
        <v>109</v>
      </c>
      <c r="X15" t="s">
        <v>110</v>
      </c>
      <c r="Y15" t="s">
        <v>111</v>
      </c>
      <c r="Z15" t="s">
        <v>112</v>
      </c>
      <c r="AA15" t="s">
        <v>113</v>
      </c>
      <c r="AB15" t="s">
        <v>114</v>
      </c>
      <c r="AC15" t="s">
        <v>93</v>
      </c>
      <c r="AD15" t="s">
        <v>94</v>
      </c>
    </row>
    <row r="16" spans="1:30" ht="14.1" customHeight="1" x14ac:dyDescent="0.25">
      <c r="A16" s="4">
        <v>4128990551</v>
      </c>
      <c r="B16" s="4">
        <v>4245088512</v>
      </c>
      <c r="C16" s="9">
        <v>45663</v>
      </c>
      <c r="D16" s="12">
        <v>0.63011574074074073</v>
      </c>
      <c r="E16" s="4">
        <v>59</v>
      </c>
      <c r="F16" s="3" t="s">
        <v>19</v>
      </c>
      <c r="G16" s="3" t="s">
        <v>20</v>
      </c>
      <c r="H16" s="3" t="str">
        <f>CONCATENATE(Table279[[#This Row],[TIPO_CDR]]," ",Table279[[#This Row],[TRANSACCION]])</f>
        <v>LLAMADA ENTRANTE</v>
      </c>
      <c r="I16" s="3" t="s">
        <v>22</v>
      </c>
      <c r="J16" s="3" t="s">
        <v>23</v>
      </c>
      <c r="K16" s="3" t="s">
        <v>23</v>
      </c>
      <c r="L16" s="3" t="s">
        <v>22</v>
      </c>
      <c r="M16" s="3" t="s">
        <v>23</v>
      </c>
      <c r="N16" s="3" t="s">
        <v>23</v>
      </c>
      <c r="O16" s="3" t="s">
        <v>24</v>
      </c>
      <c r="P16" s="3" t="s">
        <v>25</v>
      </c>
      <c r="Q16" s="3" t="s">
        <v>26</v>
      </c>
      <c r="R16" s="3" t="s">
        <v>27</v>
      </c>
      <c r="S16" s="3" t="s">
        <v>28</v>
      </c>
      <c r="T16" s="3" t="s">
        <v>26</v>
      </c>
      <c r="U16" s="3" t="s">
        <v>27</v>
      </c>
      <c r="V16" s="3" t="s">
        <v>28</v>
      </c>
      <c r="W16" s="3" t="s">
        <v>29</v>
      </c>
      <c r="X16" s="3" t="s">
        <v>29</v>
      </c>
      <c r="Y16" s="3" t="s">
        <v>30</v>
      </c>
      <c r="Z16" s="3" t="s">
        <v>21</v>
      </c>
      <c r="AA16" s="3" t="s">
        <v>30</v>
      </c>
      <c r="AB16" s="3" t="s">
        <v>21</v>
      </c>
      <c r="AC16" s="3" t="s">
        <v>21</v>
      </c>
      <c r="AD16" s="3" t="s">
        <v>21</v>
      </c>
    </row>
    <row r="17" spans="1:30" ht="14.1" customHeight="1" x14ac:dyDescent="0.25">
      <c r="A17" s="4">
        <v>4245109750</v>
      </c>
      <c r="B17" s="4">
        <v>4245088512</v>
      </c>
      <c r="C17" s="9">
        <v>45663</v>
      </c>
      <c r="D17" s="12">
        <v>0.77443287037037034</v>
      </c>
      <c r="E17" s="4">
        <v>98</v>
      </c>
      <c r="F17" s="3" t="s">
        <v>19</v>
      </c>
      <c r="G17" s="3" t="s">
        <v>20</v>
      </c>
      <c r="H17" s="3" t="str">
        <f>CONCATENATE(Table279[[#This Row],[TIPO_CDR]]," ",Table279[[#This Row],[TRANSACCION]])</f>
        <v>LLAMADA ENTRANTE</v>
      </c>
      <c r="I17" s="3" t="s">
        <v>36</v>
      </c>
      <c r="J17" s="3" t="s">
        <v>37</v>
      </c>
      <c r="K17" s="3" t="s">
        <v>38</v>
      </c>
      <c r="L17" s="3" t="s">
        <v>39</v>
      </c>
      <c r="M17" s="3" t="s">
        <v>37</v>
      </c>
      <c r="N17" s="3" t="s">
        <v>38</v>
      </c>
      <c r="O17" s="3" t="s">
        <v>24</v>
      </c>
      <c r="P17" s="3" t="s">
        <v>25</v>
      </c>
      <c r="Q17" s="3" t="s">
        <v>40</v>
      </c>
      <c r="R17" s="3" t="s">
        <v>27</v>
      </c>
      <c r="S17" s="3" t="s">
        <v>28</v>
      </c>
      <c r="T17" s="3" t="s">
        <v>26</v>
      </c>
      <c r="U17" s="3" t="s">
        <v>27</v>
      </c>
      <c r="V17" s="3" t="s">
        <v>28</v>
      </c>
      <c r="W17" s="3" t="s">
        <v>41</v>
      </c>
      <c r="X17" s="3" t="s">
        <v>41</v>
      </c>
      <c r="Y17" s="3" t="s">
        <v>21</v>
      </c>
      <c r="Z17" s="3" t="s">
        <v>21</v>
      </c>
      <c r="AA17" s="3" t="s">
        <v>21</v>
      </c>
      <c r="AB17" s="3" t="s">
        <v>21</v>
      </c>
      <c r="AC17" s="3" t="s">
        <v>34</v>
      </c>
      <c r="AD17" s="3" t="s">
        <v>35</v>
      </c>
    </row>
    <row r="18" spans="1:30" ht="14.1" customHeight="1" x14ac:dyDescent="0.25">
      <c r="A18" s="4">
        <v>4245088512</v>
      </c>
      <c r="B18" s="4">
        <v>4245109750</v>
      </c>
      <c r="C18" s="9">
        <v>45664</v>
      </c>
      <c r="D18" s="12">
        <v>0.45848379629629626</v>
      </c>
      <c r="E18" s="4">
        <v>97</v>
      </c>
      <c r="F18" s="3" t="s">
        <v>19</v>
      </c>
      <c r="G18" s="3" t="s">
        <v>45</v>
      </c>
      <c r="H18" s="3" t="str">
        <f>CONCATENATE(Table279[[#This Row],[TIPO_CDR]]," ",Table279[[#This Row],[TRANSACCION]])</f>
        <v>LLAMADA SALIENTE</v>
      </c>
      <c r="I18" s="3" t="s">
        <v>46</v>
      </c>
      <c r="J18" s="3" t="s">
        <v>47</v>
      </c>
      <c r="K18" s="3" t="s">
        <v>48</v>
      </c>
      <c r="L18" s="3" t="s">
        <v>46</v>
      </c>
      <c r="M18" s="3" t="s">
        <v>47</v>
      </c>
      <c r="N18" s="3" t="s">
        <v>48</v>
      </c>
      <c r="O18" s="3" t="s">
        <v>34</v>
      </c>
      <c r="P18" s="3" t="s">
        <v>35</v>
      </c>
      <c r="Q18" s="3" t="s">
        <v>49</v>
      </c>
      <c r="R18" s="3" t="s">
        <v>47</v>
      </c>
      <c r="S18" s="3" t="s">
        <v>48</v>
      </c>
      <c r="T18" s="3" t="s">
        <v>49</v>
      </c>
      <c r="U18" s="3" t="s">
        <v>47</v>
      </c>
      <c r="V18" s="3" t="s">
        <v>48</v>
      </c>
      <c r="W18" s="3" t="s">
        <v>41</v>
      </c>
      <c r="X18" s="3" t="s">
        <v>41</v>
      </c>
      <c r="Y18" s="3" t="s">
        <v>21</v>
      </c>
      <c r="Z18" s="3" t="s">
        <v>21</v>
      </c>
      <c r="AA18" s="3" t="s">
        <v>21</v>
      </c>
      <c r="AB18" s="3" t="s">
        <v>21</v>
      </c>
      <c r="AC18" s="3" t="s">
        <v>24</v>
      </c>
      <c r="AD18" s="3" t="s">
        <v>25</v>
      </c>
    </row>
    <row r="19" spans="1:30" ht="14.1" customHeight="1" x14ac:dyDescent="0.25">
      <c r="A19" s="4">
        <v>4245088512</v>
      </c>
      <c r="B19" s="4">
        <v>4245109750</v>
      </c>
      <c r="C19" s="9">
        <v>45664</v>
      </c>
      <c r="D19" s="12">
        <v>0.48185185185185181</v>
      </c>
      <c r="E19" s="4">
        <v>31</v>
      </c>
      <c r="F19" s="3" t="s">
        <v>19</v>
      </c>
      <c r="G19" s="3" t="s">
        <v>45</v>
      </c>
      <c r="H19" s="3" t="str">
        <f>CONCATENATE(Table279[[#This Row],[TIPO_CDR]]," ",Table279[[#This Row],[TRANSACCION]])</f>
        <v>LLAMADA SALIENTE</v>
      </c>
      <c r="I19" s="3" t="s">
        <v>46</v>
      </c>
      <c r="J19" s="3" t="s">
        <v>47</v>
      </c>
      <c r="K19" s="3" t="s">
        <v>48</v>
      </c>
      <c r="L19" s="3" t="s">
        <v>46</v>
      </c>
      <c r="M19" s="3" t="s">
        <v>47</v>
      </c>
      <c r="N19" s="3" t="s">
        <v>48</v>
      </c>
      <c r="O19" s="3" t="s">
        <v>34</v>
      </c>
      <c r="P19" s="3" t="s">
        <v>35</v>
      </c>
      <c r="Q19" s="3" t="s">
        <v>49</v>
      </c>
      <c r="R19" s="3" t="s">
        <v>47</v>
      </c>
      <c r="S19" s="3" t="s">
        <v>48</v>
      </c>
      <c r="T19" s="3" t="s">
        <v>49</v>
      </c>
      <c r="U19" s="3" t="s">
        <v>47</v>
      </c>
      <c r="V19" s="3" t="s">
        <v>48</v>
      </c>
      <c r="W19" s="3" t="s">
        <v>41</v>
      </c>
      <c r="X19" s="3" t="s">
        <v>41</v>
      </c>
      <c r="Y19" s="3" t="s">
        <v>21</v>
      </c>
      <c r="Z19" s="3" t="s">
        <v>21</v>
      </c>
      <c r="AA19" s="3" t="s">
        <v>21</v>
      </c>
      <c r="AB19" s="3" t="s">
        <v>21</v>
      </c>
      <c r="AC19" s="3" t="s">
        <v>24</v>
      </c>
      <c r="AD19" s="3" t="s">
        <v>25</v>
      </c>
    </row>
    <row r="20" spans="1:30" ht="14.1" customHeight="1" x14ac:dyDescent="0.25">
      <c r="A20" s="4">
        <v>2128027511</v>
      </c>
      <c r="B20" s="4">
        <v>4245088512</v>
      </c>
      <c r="C20" s="9">
        <v>45664</v>
      </c>
      <c r="D20" s="12">
        <v>0.63126157407407402</v>
      </c>
      <c r="E20" s="4">
        <v>42</v>
      </c>
      <c r="F20" s="3" t="s">
        <v>19</v>
      </c>
      <c r="G20" s="3" t="s">
        <v>20</v>
      </c>
      <c r="H20" s="3" t="str">
        <f>CONCATENATE(Table279[[#This Row],[TIPO_CDR]]," ",Table279[[#This Row],[TRANSACCION]])</f>
        <v>LLAMADA ENTRANTE</v>
      </c>
      <c r="I20" s="3" t="s">
        <v>22</v>
      </c>
      <c r="J20" s="3" t="s">
        <v>23</v>
      </c>
      <c r="K20" s="3" t="s">
        <v>23</v>
      </c>
      <c r="L20" s="3" t="s">
        <v>22</v>
      </c>
      <c r="M20" s="3" t="s">
        <v>23</v>
      </c>
      <c r="N20" s="3" t="s">
        <v>23</v>
      </c>
      <c r="O20" s="3" t="s">
        <v>24</v>
      </c>
      <c r="P20" s="3" t="s">
        <v>25</v>
      </c>
      <c r="Q20" s="3" t="s">
        <v>55</v>
      </c>
      <c r="R20" s="3" t="s">
        <v>27</v>
      </c>
      <c r="S20" s="3" t="s">
        <v>28</v>
      </c>
      <c r="T20" s="3" t="s">
        <v>40</v>
      </c>
      <c r="U20" s="3" t="s">
        <v>27</v>
      </c>
      <c r="V20" s="3" t="s">
        <v>28</v>
      </c>
      <c r="W20" s="3" t="s">
        <v>56</v>
      </c>
      <c r="X20" s="3" t="s">
        <v>56</v>
      </c>
      <c r="Y20" s="3" t="s">
        <v>57</v>
      </c>
      <c r="Z20" s="3" t="s">
        <v>21</v>
      </c>
      <c r="AA20" s="3" t="s">
        <v>57</v>
      </c>
      <c r="AB20" s="3" t="s">
        <v>21</v>
      </c>
      <c r="AC20" s="3" t="s">
        <v>21</v>
      </c>
      <c r="AD20" s="3" t="s">
        <v>21</v>
      </c>
    </row>
    <row r="21" spans="1:30" ht="14.1" customHeight="1" x14ac:dyDescent="0.25">
      <c r="A21" s="4">
        <v>4245109750</v>
      </c>
      <c r="B21" s="4">
        <v>4245088512</v>
      </c>
      <c r="C21" s="9">
        <v>45674</v>
      </c>
      <c r="D21" s="12">
        <v>0.41689814814814818</v>
      </c>
      <c r="E21" s="4">
        <v>179</v>
      </c>
      <c r="F21" s="3" t="s">
        <v>19</v>
      </c>
      <c r="G21" s="3" t="s">
        <v>20</v>
      </c>
      <c r="H21" s="3" t="str">
        <f>CONCATENATE(Table279[[#This Row],[TIPO_CDR]]," ",Table279[[#This Row],[TRANSACCION]])</f>
        <v>LLAMADA ENTRANTE</v>
      </c>
      <c r="I21" s="3" t="s">
        <v>36</v>
      </c>
      <c r="J21" s="3" t="s">
        <v>37</v>
      </c>
      <c r="K21" s="3" t="s">
        <v>38</v>
      </c>
      <c r="L21" s="3" t="s">
        <v>61</v>
      </c>
      <c r="M21" s="3" t="s">
        <v>37</v>
      </c>
      <c r="N21" s="3" t="s">
        <v>38</v>
      </c>
      <c r="O21" s="3" t="s">
        <v>24</v>
      </c>
      <c r="P21" s="3" t="s">
        <v>25</v>
      </c>
      <c r="Q21" s="3" t="s">
        <v>40</v>
      </c>
      <c r="R21" s="3" t="s">
        <v>27</v>
      </c>
      <c r="S21" s="3" t="s">
        <v>28</v>
      </c>
      <c r="T21" s="3" t="s">
        <v>55</v>
      </c>
      <c r="U21" s="3" t="s">
        <v>27</v>
      </c>
      <c r="V21" s="3" t="s">
        <v>28</v>
      </c>
      <c r="W21" s="3" t="s">
        <v>41</v>
      </c>
      <c r="X21" s="3" t="s">
        <v>41</v>
      </c>
      <c r="Y21" s="3" t="s">
        <v>21</v>
      </c>
      <c r="Z21" s="3" t="s">
        <v>21</v>
      </c>
      <c r="AA21" s="3" t="s">
        <v>21</v>
      </c>
      <c r="AB21" s="3" t="s">
        <v>21</v>
      </c>
      <c r="AC21" s="3" t="s">
        <v>34</v>
      </c>
      <c r="AD21" s="3" t="s">
        <v>35</v>
      </c>
    </row>
    <row r="22" spans="1:30" ht="14.1" customHeight="1" x14ac:dyDescent="0.25">
      <c r="A22" s="4">
        <v>4245109750</v>
      </c>
      <c r="B22" s="4">
        <v>4245088512</v>
      </c>
      <c r="C22" s="9">
        <v>45674</v>
      </c>
      <c r="D22" s="12">
        <v>0.42592592592592587</v>
      </c>
      <c r="E22" s="4">
        <v>57</v>
      </c>
      <c r="F22" s="3" t="s">
        <v>19</v>
      </c>
      <c r="G22" s="3" t="s">
        <v>20</v>
      </c>
      <c r="H22" s="3" t="str">
        <f>CONCATENATE(Table279[[#This Row],[TIPO_CDR]]," ",Table279[[#This Row],[TRANSACCION]])</f>
        <v>LLAMADA ENTRANTE</v>
      </c>
      <c r="I22" s="3" t="s">
        <v>36</v>
      </c>
      <c r="J22" s="3" t="s">
        <v>37</v>
      </c>
      <c r="K22" s="3" t="s">
        <v>38</v>
      </c>
      <c r="L22" s="3" t="s">
        <v>39</v>
      </c>
      <c r="M22" s="3" t="s">
        <v>37</v>
      </c>
      <c r="N22" s="3" t="s">
        <v>38</v>
      </c>
      <c r="O22" s="3" t="s">
        <v>24</v>
      </c>
      <c r="P22" s="3" t="s">
        <v>25</v>
      </c>
      <c r="Q22" s="3" t="s">
        <v>40</v>
      </c>
      <c r="R22" s="3" t="s">
        <v>27</v>
      </c>
      <c r="S22" s="3" t="s">
        <v>28</v>
      </c>
      <c r="T22" s="3" t="s">
        <v>26</v>
      </c>
      <c r="U22" s="3" t="s">
        <v>27</v>
      </c>
      <c r="V22" s="3" t="s">
        <v>28</v>
      </c>
      <c r="W22" s="3" t="s">
        <v>41</v>
      </c>
      <c r="X22" s="3" t="s">
        <v>41</v>
      </c>
      <c r="Y22" s="3" t="s">
        <v>21</v>
      </c>
      <c r="Z22" s="3" t="s">
        <v>21</v>
      </c>
      <c r="AA22" s="3" t="s">
        <v>21</v>
      </c>
      <c r="AB22" s="3" t="s">
        <v>21</v>
      </c>
      <c r="AC22" s="3" t="s">
        <v>34</v>
      </c>
      <c r="AD22" s="3" t="s">
        <v>35</v>
      </c>
    </row>
    <row r="23" spans="1:30" ht="14.1" customHeight="1" x14ac:dyDescent="0.25">
      <c r="A23" s="4">
        <v>4245109750</v>
      </c>
      <c r="B23" s="4">
        <v>4245088512</v>
      </c>
      <c r="C23" s="9">
        <v>45674</v>
      </c>
      <c r="D23" s="12">
        <v>0.45332175925925927</v>
      </c>
      <c r="E23" s="4">
        <v>27</v>
      </c>
      <c r="F23" s="3" t="s">
        <v>19</v>
      </c>
      <c r="G23" s="3" t="s">
        <v>20</v>
      </c>
      <c r="H23" s="3" t="str">
        <f>CONCATENATE(Table279[[#This Row],[TIPO_CDR]]," ",Table279[[#This Row],[TRANSACCION]])</f>
        <v>LLAMADA ENTRANTE</v>
      </c>
      <c r="I23" s="3" t="s">
        <v>36</v>
      </c>
      <c r="J23" s="3" t="s">
        <v>37</v>
      </c>
      <c r="K23" s="3" t="s">
        <v>38</v>
      </c>
      <c r="L23" s="3" t="s">
        <v>39</v>
      </c>
      <c r="M23" s="3" t="s">
        <v>37</v>
      </c>
      <c r="N23" s="3" t="s">
        <v>38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28</v>
      </c>
      <c r="T23" s="3" t="s">
        <v>26</v>
      </c>
      <c r="U23" s="3" t="s">
        <v>27</v>
      </c>
      <c r="V23" s="3" t="s">
        <v>28</v>
      </c>
      <c r="W23" s="3" t="s">
        <v>41</v>
      </c>
      <c r="X23" s="3" t="s">
        <v>41</v>
      </c>
      <c r="Y23" s="3" t="s">
        <v>21</v>
      </c>
      <c r="Z23" s="3" t="s">
        <v>21</v>
      </c>
      <c r="AA23" s="3" t="s">
        <v>21</v>
      </c>
      <c r="AB23" s="3" t="s">
        <v>21</v>
      </c>
      <c r="AC23" s="3" t="s">
        <v>34</v>
      </c>
      <c r="AD23" s="3" t="s">
        <v>35</v>
      </c>
    </row>
    <row r="24" spans="1:30" ht="14.1" customHeight="1" x14ac:dyDescent="0.25">
      <c r="A24" s="4">
        <v>4245109750</v>
      </c>
      <c r="B24" s="4">
        <v>4245088512</v>
      </c>
      <c r="C24" s="9">
        <v>45674</v>
      </c>
      <c r="D24" s="12">
        <v>0.47658564814814813</v>
      </c>
      <c r="E24" s="4">
        <v>79</v>
      </c>
      <c r="F24" s="3" t="s">
        <v>19</v>
      </c>
      <c r="G24" s="3" t="s">
        <v>20</v>
      </c>
      <c r="H24" s="3" t="str">
        <f>CONCATENATE(Table279[[#This Row],[TIPO_CDR]]," ",Table279[[#This Row],[TRANSACCION]])</f>
        <v>LLAMADA ENTRANTE</v>
      </c>
      <c r="I24" s="3" t="s">
        <v>36</v>
      </c>
      <c r="J24" s="3" t="s">
        <v>37</v>
      </c>
      <c r="K24" s="3" t="s">
        <v>38</v>
      </c>
      <c r="L24" s="3" t="s">
        <v>61</v>
      </c>
      <c r="M24" s="3" t="s">
        <v>37</v>
      </c>
      <c r="N24" s="3" t="s">
        <v>38</v>
      </c>
      <c r="O24" s="3" t="s">
        <v>24</v>
      </c>
      <c r="P24" s="3" t="s">
        <v>25</v>
      </c>
      <c r="Q24" s="3" t="s">
        <v>40</v>
      </c>
      <c r="R24" s="3" t="s">
        <v>27</v>
      </c>
      <c r="S24" s="3" t="s">
        <v>28</v>
      </c>
      <c r="T24" s="3" t="s">
        <v>40</v>
      </c>
      <c r="U24" s="3" t="s">
        <v>27</v>
      </c>
      <c r="V24" s="3" t="s">
        <v>28</v>
      </c>
      <c r="W24" s="3" t="s">
        <v>41</v>
      </c>
      <c r="X24" s="3" t="s">
        <v>41</v>
      </c>
      <c r="Y24" s="3" t="s">
        <v>21</v>
      </c>
      <c r="Z24" s="3" t="s">
        <v>21</v>
      </c>
      <c r="AA24" s="3" t="s">
        <v>21</v>
      </c>
      <c r="AB24" s="3" t="s">
        <v>21</v>
      </c>
      <c r="AC24" s="3" t="s">
        <v>34</v>
      </c>
      <c r="AD24" s="3" t="s">
        <v>35</v>
      </c>
    </row>
    <row r="25" spans="1:30" ht="14.1" customHeight="1" x14ac:dyDescent="0.25">
      <c r="A25" s="4">
        <v>4245109750</v>
      </c>
      <c r="B25" s="4">
        <v>4245088512</v>
      </c>
      <c r="C25" s="9">
        <v>45676</v>
      </c>
      <c r="D25" s="12">
        <v>0.7465046296296296</v>
      </c>
      <c r="E25" s="4">
        <v>46</v>
      </c>
      <c r="F25" s="3" t="s">
        <v>19</v>
      </c>
      <c r="G25" s="3" t="s">
        <v>20</v>
      </c>
      <c r="H25" s="3" t="str">
        <f>CONCATENATE(Table279[[#This Row],[TIPO_CDR]]," ",Table279[[#This Row],[TRANSACCION]])</f>
        <v>LLAMADA ENTRANTE</v>
      </c>
      <c r="I25" s="3" t="s">
        <v>26</v>
      </c>
      <c r="J25" s="3" t="s">
        <v>27</v>
      </c>
      <c r="K25" s="3" t="s">
        <v>28</v>
      </c>
      <c r="L25" s="3" t="s">
        <v>26</v>
      </c>
      <c r="M25" s="3" t="s">
        <v>27</v>
      </c>
      <c r="N25" s="3" t="s">
        <v>28</v>
      </c>
      <c r="O25" s="3" t="s">
        <v>24</v>
      </c>
      <c r="P25" s="3" t="s">
        <v>25</v>
      </c>
      <c r="Q25" s="3" t="s">
        <v>40</v>
      </c>
      <c r="R25" s="3" t="s">
        <v>27</v>
      </c>
      <c r="S25" s="3" t="s">
        <v>28</v>
      </c>
      <c r="T25" s="3" t="s">
        <v>40</v>
      </c>
      <c r="U25" s="3" t="s">
        <v>27</v>
      </c>
      <c r="V25" s="3" t="s">
        <v>28</v>
      </c>
      <c r="W25" s="3" t="s">
        <v>41</v>
      </c>
      <c r="X25" s="3" t="s">
        <v>41</v>
      </c>
      <c r="Y25" s="3" t="s">
        <v>21</v>
      </c>
      <c r="Z25" s="3" t="s">
        <v>21</v>
      </c>
      <c r="AA25" s="3" t="s">
        <v>21</v>
      </c>
      <c r="AB25" s="3" t="s">
        <v>21</v>
      </c>
      <c r="AC25" s="3" t="s">
        <v>34</v>
      </c>
      <c r="AD25" s="3" t="s">
        <v>35</v>
      </c>
    </row>
    <row r="26" spans="1:30" ht="14.1" customHeight="1" x14ac:dyDescent="0.25">
      <c r="A26" s="4">
        <v>4245109750</v>
      </c>
      <c r="B26" s="4">
        <v>4245088512</v>
      </c>
      <c r="C26" s="9">
        <v>45678</v>
      </c>
      <c r="D26" s="12">
        <v>0.43458333333333332</v>
      </c>
      <c r="E26" s="4">
        <v>88</v>
      </c>
      <c r="F26" s="3" t="s">
        <v>19</v>
      </c>
      <c r="G26" s="3" t="s">
        <v>20</v>
      </c>
      <c r="H26" s="3" t="str">
        <f>CONCATENATE(Table279[[#This Row],[TIPO_CDR]]," ",Table279[[#This Row],[TRANSACCION]])</f>
        <v>LLAMADA ENTRANTE</v>
      </c>
      <c r="I26" s="3" t="s">
        <v>74</v>
      </c>
      <c r="J26" s="3" t="s">
        <v>75</v>
      </c>
      <c r="K26" s="3" t="s">
        <v>76</v>
      </c>
      <c r="L26" s="3" t="s">
        <v>74</v>
      </c>
      <c r="M26" s="3" t="s">
        <v>75</v>
      </c>
      <c r="N26" s="3" t="s">
        <v>76</v>
      </c>
      <c r="O26" s="3" t="s">
        <v>24</v>
      </c>
      <c r="P26" s="3" t="s">
        <v>25</v>
      </c>
      <c r="Q26" s="3" t="s">
        <v>55</v>
      </c>
      <c r="R26" s="3" t="s">
        <v>27</v>
      </c>
      <c r="S26" s="3" t="s">
        <v>28</v>
      </c>
      <c r="T26" s="3" t="s">
        <v>40</v>
      </c>
      <c r="U26" s="3" t="s">
        <v>27</v>
      </c>
      <c r="V26" s="3" t="s">
        <v>28</v>
      </c>
      <c r="W26" s="3" t="s">
        <v>41</v>
      </c>
      <c r="X26" s="3" t="s">
        <v>41</v>
      </c>
      <c r="Y26" s="3" t="s">
        <v>21</v>
      </c>
      <c r="Z26" s="3" t="s">
        <v>21</v>
      </c>
      <c r="AA26" s="3" t="s">
        <v>21</v>
      </c>
      <c r="AB26" s="3" t="s">
        <v>21</v>
      </c>
      <c r="AC26" s="3" t="s">
        <v>34</v>
      </c>
      <c r="AD26" s="3" t="s">
        <v>35</v>
      </c>
    </row>
    <row r="27" spans="1:30" ht="14.1" customHeight="1" x14ac:dyDescent="0.25">
      <c r="A27" s="4">
        <v>4245109750</v>
      </c>
      <c r="B27" s="4">
        <v>4245088512</v>
      </c>
      <c r="C27" s="9">
        <v>45684</v>
      </c>
      <c r="D27" s="12">
        <v>0.77747685185185189</v>
      </c>
      <c r="E27" s="4">
        <v>45</v>
      </c>
      <c r="F27" s="3" t="s">
        <v>19</v>
      </c>
      <c r="G27" s="3" t="s">
        <v>20</v>
      </c>
      <c r="H27" s="3" t="str">
        <f>CONCATENATE(Table279[[#This Row],[TIPO_CDR]]," ",Table279[[#This Row],[TRANSACCION]])</f>
        <v>LLAMADA ENTRANTE</v>
      </c>
      <c r="I27" s="3" t="s">
        <v>36</v>
      </c>
      <c r="J27" s="3" t="s">
        <v>37</v>
      </c>
      <c r="K27" s="3" t="s">
        <v>38</v>
      </c>
      <c r="L27" s="3" t="s">
        <v>61</v>
      </c>
      <c r="M27" s="3" t="s">
        <v>37</v>
      </c>
      <c r="N27" s="3" t="s">
        <v>38</v>
      </c>
      <c r="O27" s="3" t="s">
        <v>24</v>
      </c>
      <c r="P27" s="3" t="s">
        <v>25</v>
      </c>
      <c r="Q27" s="3" t="s">
        <v>26</v>
      </c>
      <c r="R27" s="3" t="s">
        <v>27</v>
      </c>
      <c r="S27" s="3" t="s">
        <v>28</v>
      </c>
      <c r="T27" s="3" t="s">
        <v>80</v>
      </c>
      <c r="U27" s="3" t="s">
        <v>81</v>
      </c>
      <c r="V27" s="3" t="s">
        <v>82</v>
      </c>
      <c r="W27" s="3" t="s">
        <v>41</v>
      </c>
      <c r="X27" s="3" t="s">
        <v>41</v>
      </c>
      <c r="Y27" s="3" t="s">
        <v>21</v>
      </c>
      <c r="Z27" s="3" t="s">
        <v>21</v>
      </c>
      <c r="AA27" s="3" t="s">
        <v>21</v>
      </c>
      <c r="AB27" s="3" t="s">
        <v>21</v>
      </c>
      <c r="AC27" s="3" t="s">
        <v>34</v>
      </c>
      <c r="AD27" s="3" t="s">
        <v>35</v>
      </c>
    </row>
    <row r="28" spans="1:30" ht="14.1" customHeight="1" x14ac:dyDescent="0.25">
      <c r="A28" s="4">
        <v>4245109750</v>
      </c>
      <c r="B28" s="4">
        <v>4245088512</v>
      </c>
      <c r="C28" s="9">
        <v>45702</v>
      </c>
      <c r="D28" s="12">
        <v>0.37739583333333332</v>
      </c>
      <c r="E28" s="4">
        <v>29</v>
      </c>
      <c r="F28" s="3" t="s">
        <v>19</v>
      </c>
      <c r="G28" s="3" t="s">
        <v>20</v>
      </c>
      <c r="H28" s="3" t="str">
        <f>CONCATENATE(Table279[[#This Row],[TIPO_CDR]]," ",Table279[[#This Row],[TRANSACCION]])</f>
        <v>LLAMADA ENTRANTE</v>
      </c>
      <c r="I28" s="3" t="s">
        <v>61</v>
      </c>
      <c r="J28" s="3" t="s">
        <v>37</v>
      </c>
      <c r="K28" s="3" t="s">
        <v>38</v>
      </c>
      <c r="L28" s="3" t="s">
        <v>61</v>
      </c>
      <c r="M28" s="3" t="s">
        <v>37</v>
      </c>
      <c r="N28" s="3" t="s">
        <v>38</v>
      </c>
      <c r="O28" s="3" t="s">
        <v>24</v>
      </c>
      <c r="P28" s="3" t="s">
        <v>25</v>
      </c>
      <c r="Q28" s="3" t="s">
        <v>40</v>
      </c>
      <c r="R28" s="3" t="s">
        <v>27</v>
      </c>
      <c r="S28" s="3" t="s">
        <v>28</v>
      </c>
      <c r="T28" s="3" t="s">
        <v>40</v>
      </c>
      <c r="U28" s="3" t="s">
        <v>27</v>
      </c>
      <c r="V28" s="3" t="s">
        <v>28</v>
      </c>
      <c r="W28" s="3" t="s">
        <v>41</v>
      </c>
      <c r="X28" s="3" t="s">
        <v>41</v>
      </c>
      <c r="Y28" s="3" t="s">
        <v>21</v>
      </c>
      <c r="Z28" s="3" t="s">
        <v>21</v>
      </c>
      <c r="AA28" s="3" t="s">
        <v>21</v>
      </c>
      <c r="AB28" s="3" t="s">
        <v>21</v>
      </c>
      <c r="AC28" s="3" t="s">
        <v>34</v>
      </c>
      <c r="AD28" s="3" t="s">
        <v>35</v>
      </c>
    </row>
    <row r="29" spans="1:30" ht="14.1" customHeight="1" x14ac:dyDescent="0.25">
      <c r="A29" s="4">
        <v>811</v>
      </c>
      <c r="B29" s="4">
        <v>4245088512</v>
      </c>
      <c r="C29" s="9">
        <v>45667</v>
      </c>
      <c r="D29" s="12">
        <v>0.37598379629629625</v>
      </c>
      <c r="E29" s="4">
        <v>95</v>
      </c>
      <c r="F29" s="3" t="s">
        <v>121</v>
      </c>
      <c r="G29" s="3" t="s">
        <v>20</v>
      </c>
      <c r="H29" s="3" t="str">
        <f>CONCATENATE(Table279[[#This Row],[TIPO_CDR]]," ",Table279[[#This Row],[TRANSACCION]])</f>
        <v>SMS ENTRANTE</v>
      </c>
      <c r="AC29" s="3" t="s">
        <v>122</v>
      </c>
    </row>
    <row r="30" spans="1:30" ht="14.1" customHeight="1" x14ac:dyDescent="0.25">
      <c r="A30" s="4">
        <v>44646</v>
      </c>
      <c r="B30" s="4">
        <v>4245088512</v>
      </c>
      <c r="C30" s="9">
        <v>45670</v>
      </c>
      <c r="D30" s="12">
        <v>0.45902777777777781</v>
      </c>
      <c r="E30" s="4">
        <v>149</v>
      </c>
      <c r="F30" s="3" t="s">
        <v>121</v>
      </c>
      <c r="G30" s="3" t="s">
        <v>20</v>
      </c>
      <c r="H30" s="3" t="str">
        <f>CONCATENATE(Table279[[#This Row],[TIPO_CDR]]," ",Table279[[#This Row],[TRANSACCION]])</f>
        <v>SMS ENTRANTE</v>
      </c>
      <c r="AC30" s="3" t="s">
        <v>127</v>
      </c>
    </row>
    <row r="31" spans="1:30" ht="14.1" customHeight="1" x14ac:dyDescent="0.25">
      <c r="A31" s="4">
        <v>44646</v>
      </c>
      <c r="B31" s="4">
        <v>4245088512</v>
      </c>
      <c r="C31" s="9">
        <v>45670</v>
      </c>
      <c r="D31" s="12">
        <v>0.5427777777777778</v>
      </c>
      <c r="E31" s="4">
        <v>149</v>
      </c>
      <c r="F31" s="3" t="s">
        <v>121</v>
      </c>
      <c r="G31" s="3" t="s">
        <v>20</v>
      </c>
      <c r="H31" s="3" t="str">
        <f>CONCATENATE(Table279[[#This Row],[TIPO_CDR]]," ",Table279[[#This Row],[TRANSACCION]])</f>
        <v>SMS ENTRANTE</v>
      </c>
      <c r="AC31" s="3" t="s">
        <v>127</v>
      </c>
    </row>
    <row r="32" spans="1:30" ht="14.1" customHeight="1" x14ac:dyDescent="0.25">
      <c r="A32" s="4" t="s">
        <v>129</v>
      </c>
      <c r="B32" s="4">
        <v>4245088512</v>
      </c>
      <c r="C32" s="9">
        <v>45670</v>
      </c>
      <c r="D32" s="12">
        <v>0.7512847222222222</v>
      </c>
      <c r="E32" s="4">
        <v>121</v>
      </c>
      <c r="F32" s="3" t="s">
        <v>121</v>
      </c>
      <c r="G32" s="3" t="s">
        <v>20</v>
      </c>
      <c r="H32" s="3" t="str">
        <f>CONCATENATE(Table279[[#This Row],[TIPO_CDR]]," ",Table279[[#This Row],[TRANSACCION]])</f>
        <v>SMS ENTRANTE</v>
      </c>
      <c r="AC32" s="3" t="s">
        <v>122</v>
      </c>
    </row>
    <row r="33" spans="1:29" ht="14.1" customHeight="1" x14ac:dyDescent="0.25">
      <c r="A33" s="4" t="s">
        <v>129</v>
      </c>
      <c r="B33" s="4">
        <v>4245088512</v>
      </c>
      <c r="C33" s="9">
        <v>45672</v>
      </c>
      <c r="D33" s="12">
        <v>0.33471064814814816</v>
      </c>
      <c r="E33" s="4">
        <v>89</v>
      </c>
      <c r="F33" s="3" t="s">
        <v>121</v>
      </c>
      <c r="G33" s="3" t="s">
        <v>20</v>
      </c>
      <c r="H33" s="3" t="str">
        <f>CONCATENATE(Table279[[#This Row],[TIPO_CDR]]," ",Table279[[#This Row],[TRANSACCION]])</f>
        <v>SMS ENTRANTE</v>
      </c>
      <c r="AC33" s="3" t="s">
        <v>122</v>
      </c>
    </row>
    <row r="34" spans="1:29" ht="14.1" customHeight="1" x14ac:dyDescent="0.25">
      <c r="A34" s="4">
        <v>811</v>
      </c>
      <c r="B34" s="4">
        <v>4245088512</v>
      </c>
      <c r="C34" s="9">
        <v>45673</v>
      </c>
      <c r="D34" s="12">
        <v>0.45954861111111112</v>
      </c>
      <c r="E34" s="4">
        <v>96</v>
      </c>
      <c r="F34" s="3" t="s">
        <v>121</v>
      </c>
      <c r="G34" s="3" t="s">
        <v>20</v>
      </c>
      <c r="H34" s="3" t="str">
        <f>CONCATENATE(Table279[[#This Row],[TIPO_CDR]]," ",Table279[[#This Row],[TRANSACCION]])</f>
        <v>SMS ENTRANTE</v>
      </c>
      <c r="AC34" s="3" t="s">
        <v>122</v>
      </c>
    </row>
    <row r="35" spans="1:29" ht="14.1" customHeight="1" x14ac:dyDescent="0.25">
      <c r="A35" s="4" t="s">
        <v>129</v>
      </c>
      <c r="B35" s="4">
        <v>4245088512</v>
      </c>
      <c r="C35" s="9">
        <v>45678</v>
      </c>
      <c r="D35" s="12">
        <v>0.5423958333333333</v>
      </c>
      <c r="E35" s="4">
        <v>89</v>
      </c>
      <c r="F35" s="3" t="s">
        <v>121</v>
      </c>
      <c r="G35" s="3" t="s">
        <v>20</v>
      </c>
      <c r="H35" s="3" t="str">
        <f>CONCATENATE(Table279[[#This Row],[TIPO_CDR]]," ",Table279[[#This Row],[TRANSACCION]])</f>
        <v>SMS ENTRANTE</v>
      </c>
      <c r="AC35" s="3" t="s">
        <v>122</v>
      </c>
    </row>
    <row r="36" spans="1:29" ht="14.1" customHeight="1" x14ac:dyDescent="0.25">
      <c r="A36" s="4">
        <v>811</v>
      </c>
      <c r="B36" s="4">
        <v>4245088512</v>
      </c>
      <c r="C36" s="9">
        <v>45683</v>
      </c>
      <c r="D36" s="12">
        <v>0.41769675925925925</v>
      </c>
      <c r="E36" s="4">
        <v>123</v>
      </c>
      <c r="F36" s="3" t="s">
        <v>121</v>
      </c>
      <c r="G36" s="3" t="s">
        <v>20</v>
      </c>
      <c r="H36" s="3" t="str">
        <f>CONCATENATE(Table279[[#This Row],[TIPO_CDR]]," ",Table279[[#This Row],[TRANSACCION]])</f>
        <v>SMS ENTRANTE</v>
      </c>
      <c r="AC36" s="3" t="s">
        <v>122</v>
      </c>
    </row>
    <row r="37" spans="1:29" ht="14.1" customHeight="1" x14ac:dyDescent="0.25">
      <c r="A37" s="4" t="s">
        <v>129</v>
      </c>
      <c r="B37" s="4">
        <v>4245088512</v>
      </c>
      <c r="C37" s="9">
        <v>45688</v>
      </c>
      <c r="D37" s="12">
        <v>0.33422453703703708</v>
      </c>
      <c r="E37" s="4">
        <v>124</v>
      </c>
      <c r="F37" s="3" t="s">
        <v>121</v>
      </c>
      <c r="G37" s="3" t="s">
        <v>20</v>
      </c>
      <c r="H37" s="3" t="str">
        <f>CONCATENATE(Table279[[#This Row],[TIPO_CDR]]," ",Table279[[#This Row],[TRANSACCION]])</f>
        <v>SMS ENTRANTE</v>
      </c>
      <c r="AC37" s="3" t="s">
        <v>122</v>
      </c>
    </row>
    <row r="38" spans="1:29" ht="14.1" customHeight="1" x14ac:dyDescent="0.25">
      <c r="A38" s="4">
        <v>4125141860</v>
      </c>
      <c r="B38" s="4">
        <v>4245088512</v>
      </c>
      <c r="C38" s="9">
        <v>45688</v>
      </c>
      <c r="D38" s="12">
        <v>0.45906249999999998</v>
      </c>
      <c r="E38" s="4">
        <v>153</v>
      </c>
      <c r="F38" s="3" t="s">
        <v>121</v>
      </c>
      <c r="G38" s="3" t="s">
        <v>20</v>
      </c>
      <c r="H38" s="3" t="str">
        <f>CONCATENATE(Table279[[#This Row],[TIPO_CDR]]," ",Table279[[#This Row],[TRANSACCION]])</f>
        <v>SMS ENTRANTE</v>
      </c>
      <c r="AC38" s="3" t="s">
        <v>29</v>
      </c>
    </row>
    <row r="39" spans="1:29" ht="14.1" customHeight="1" x14ac:dyDescent="0.25">
      <c r="A39" s="4">
        <v>4125141860</v>
      </c>
      <c r="B39" s="4">
        <v>4245088512</v>
      </c>
      <c r="C39" s="9">
        <v>45688</v>
      </c>
      <c r="D39" s="12">
        <v>0.45907407407407402</v>
      </c>
      <c r="E39" s="4">
        <v>110</v>
      </c>
      <c r="F39" s="3" t="s">
        <v>121</v>
      </c>
      <c r="G39" s="3" t="s">
        <v>20</v>
      </c>
      <c r="H39" s="3" t="str">
        <f>CONCATENATE(Table279[[#This Row],[TIPO_CDR]]," ",Table279[[#This Row],[TRANSACCION]])</f>
        <v>SMS ENTRANTE</v>
      </c>
      <c r="AC39" s="3" t="s">
        <v>29</v>
      </c>
    </row>
    <row r="40" spans="1:29" ht="14.1" customHeight="1" x14ac:dyDescent="0.25">
      <c r="A40" s="4">
        <v>811</v>
      </c>
      <c r="B40" s="4">
        <v>4245088512</v>
      </c>
      <c r="C40" s="9">
        <v>45693</v>
      </c>
      <c r="D40" s="12">
        <v>0.4183912037037037</v>
      </c>
      <c r="E40" s="4">
        <v>108</v>
      </c>
      <c r="F40" s="3" t="s">
        <v>121</v>
      </c>
      <c r="G40" s="3" t="s">
        <v>20</v>
      </c>
      <c r="H40" s="3" t="str">
        <f>CONCATENATE(Table279[[#This Row],[TIPO_CDR]]," ",Table279[[#This Row],[TRANSACCION]])</f>
        <v>SMS ENTRANTE</v>
      </c>
      <c r="AC40" s="3" t="s">
        <v>122</v>
      </c>
    </row>
    <row r="41" spans="1:29" ht="14.1" customHeight="1" x14ac:dyDescent="0.25">
      <c r="A41" s="4">
        <v>4262876159</v>
      </c>
      <c r="B41" s="4">
        <v>4245088512</v>
      </c>
      <c r="C41" s="9">
        <v>45696</v>
      </c>
      <c r="D41" s="12">
        <v>0.29315972222222225</v>
      </c>
      <c r="E41" s="4">
        <v>150</v>
      </c>
      <c r="F41" s="3" t="s">
        <v>121</v>
      </c>
      <c r="G41" s="3" t="s">
        <v>20</v>
      </c>
      <c r="H41" s="3" t="str">
        <f>CONCATENATE(Table279[[#This Row],[TIPO_CDR]]," ",Table279[[#This Row],[TRANSACCION]])</f>
        <v>SMS ENTRANTE</v>
      </c>
      <c r="AC41" s="3" t="s">
        <v>158</v>
      </c>
    </row>
    <row r="42" spans="1:29" ht="14.1" customHeight="1" x14ac:dyDescent="0.25">
      <c r="A42" s="4" t="s">
        <v>159</v>
      </c>
      <c r="B42" s="4">
        <v>4245088512</v>
      </c>
      <c r="C42" s="9">
        <v>45697</v>
      </c>
      <c r="D42" s="12">
        <v>0.37663194444444442</v>
      </c>
      <c r="E42" s="4">
        <v>116</v>
      </c>
      <c r="F42" s="3" t="s">
        <v>121</v>
      </c>
      <c r="G42" s="3" t="s">
        <v>20</v>
      </c>
      <c r="H42" s="3" t="str">
        <f>CONCATENATE(Table279[[#This Row],[TIPO_CDR]]," ",Table279[[#This Row],[TRANSACCION]])</f>
        <v>SMS ENTRANTE</v>
      </c>
      <c r="AC42" s="3" t="s">
        <v>122</v>
      </c>
    </row>
    <row r="43" spans="1:29" ht="14.1" customHeight="1" x14ac:dyDescent="0.25">
      <c r="A43" s="4" t="s">
        <v>129</v>
      </c>
      <c r="B43" s="4">
        <v>4245088512</v>
      </c>
      <c r="C43" s="9">
        <v>45700</v>
      </c>
      <c r="D43" s="12">
        <v>0.33519675925925929</v>
      </c>
      <c r="E43" s="4">
        <v>121</v>
      </c>
      <c r="F43" s="3" t="s">
        <v>121</v>
      </c>
      <c r="G43" s="3" t="s">
        <v>20</v>
      </c>
      <c r="H43" s="3" t="str">
        <f>CONCATENATE(Table279[[#This Row],[TIPO_CDR]]," ",Table279[[#This Row],[TRANSACCION]])</f>
        <v>SMS ENTRANTE</v>
      </c>
      <c r="AC43" s="3" t="s">
        <v>122</v>
      </c>
    </row>
    <row r="44" spans="1:29" ht="14.1" customHeight="1" x14ac:dyDescent="0.25">
      <c r="A44" s="4">
        <v>811</v>
      </c>
      <c r="B44" s="4">
        <v>4245088512</v>
      </c>
      <c r="C44" s="9">
        <v>45706</v>
      </c>
      <c r="D44" s="12">
        <v>0.46012731481481484</v>
      </c>
      <c r="E44" s="4">
        <v>101</v>
      </c>
      <c r="F44" s="3" t="s">
        <v>121</v>
      </c>
      <c r="G44" s="3" t="s">
        <v>20</v>
      </c>
      <c r="H44" s="3" t="str">
        <f>CONCATENATE(Table279[[#This Row],[TIPO_CDR]]," ",Table279[[#This Row],[TRANSACCION]])</f>
        <v>SMS ENTRANTE</v>
      </c>
      <c r="AC44" s="3" t="s">
        <v>122</v>
      </c>
    </row>
    <row r="45" spans="1:29" ht="14.1" customHeight="1" x14ac:dyDescent="0.25">
      <c r="A45" s="4">
        <v>811</v>
      </c>
      <c r="B45" s="4">
        <v>4245088512</v>
      </c>
      <c r="C45" s="9">
        <v>45713</v>
      </c>
      <c r="D45" s="12">
        <v>0.33539351851851856</v>
      </c>
      <c r="E45" s="4">
        <v>115</v>
      </c>
      <c r="F45" s="3" t="s">
        <v>121</v>
      </c>
      <c r="G45" s="3" t="s">
        <v>20</v>
      </c>
      <c r="H45" s="3" t="str">
        <f>CONCATENATE(Table279[[#This Row],[TIPO_CDR]]," ",Table279[[#This Row],[TRANSACCION]])</f>
        <v>SMS ENTRANTE</v>
      </c>
      <c r="AC45" s="3" t="s">
        <v>122</v>
      </c>
    </row>
    <row r="46" spans="1:29" ht="14.1" customHeight="1" x14ac:dyDescent="0.25">
      <c r="A46" s="4" t="s">
        <v>129</v>
      </c>
      <c r="B46" s="4">
        <v>4245088512</v>
      </c>
      <c r="C46" s="9">
        <v>45716</v>
      </c>
      <c r="D46" s="12">
        <v>0.37695601851851851</v>
      </c>
      <c r="E46" s="4">
        <v>102</v>
      </c>
      <c r="F46" s="3" t="s">
        <v>121</v>
      </c>
      <c r="G46" s="3" t="s">
        <v>20</v>
      </c>
      <c r="H46" s="3" t="str">
        <f>CONCATENATE(Table279[[#This Row],[TIPO_CDR]]," ",Table279[[#This Row],[TRANSACCION]])</f>
        <v>SMS ENTRANTE</v>
      </c>
      <c r="AC46" s="3" t="s">
        <v>122</v>
      </c>
    </row>
    <row r="47" spans="1:29" ht="14.1" customHeight="1" x14ac:dyDescent="0.25">
      <c r="A47" s="4" t="s">
        <v>129</v>
      </c>
      <c r="B47" s="4">
        <v>4245088512</v>
      </c>
      <c r="C47" s="9">
        <v>45716</v>
      </c>
      <c r="D47" s="12">
        <v>0.58474537037037033</v>
      </c>
      <c r="E47" s="4">
        <v>125</v>
      </c>
      <c r="F47" s="3" t="s">
        <v>121</v>
      </c>
      <c r="G47" s="3" t="s">
        <v>20</v>
      </c>
      <c r="H47" s="3" t="str">
        <f>CONCATENATE(Table279[[#This Row],[TIPO_CDR]]," ",Table279[[#This Row],[TRANSACCION]])</f>
        <v>SMS ENTRANTE</v>
      </c>
      <c r="AC47" s="3" t="s">
        <v>122</v>
      </c>
    </row>
    <row r="48" spans="1:29" ht="14.1" customHeight="1" x14ac:dyDescent="0.25">
      <c r="A48" s="4">
        <v>811</v>
      </c>
      <c r="B48" s="4">
        <v>4245088512</v>
      </c>
      <c r="C48" s="9">
        <v>45727</v>
      </c>
      <c r="D48" s="12">
        <v>0.33608796296296295</v>
      </c>
      <c r="E48" s="4">
        <v>127</v>
      </c>
      <c r="F48" s="3" t="s">
        <v>121</v>
      </c>
      <c r="G48" s="3" t="s">
        <v>20</v>
      </c>
      <c r="H48" s="3" t="str">
        <f>CONCATENATE(Table279[[#This Row],[TIPO_CDR]]," ",Table279[[#This Row],[TRANSACCION]])</f>
        <v>SMS ENTRANTE</v>
      </c>
      <c r="AC48" s="3" t="s">
        <v>122</v>
      </c>
    </row>
    <row r="49" spans="1:29" ht="14.1" customHeight="1" x14ac:dyDescent="0.25">
      <c r="A49" s="4">
        <v>811</v>
      </c>
      <c r="B49" s="4">
        <v>4245088512</v>
      </c>
      <c r="C49" s="9">
        <v>45728</v>
      </c>
      <c r="D49" s="12">
        <v>0.41884259259259254</v>
      </c>
      <c r="E49" s="4">
        <v>69</v>
      </c>
      <c r="F49" s="3" t="s">
        <v>121</v>
      </c>
      <c r="G49" s="3" t="s">
        <v>20</v>
      </c>
      <c r="H49" s="3" t="str">
        <f>CONCATENATE(Table279[[#This Row],[TIPO_CDR]]," ",Table279[[#This Row],[TRANSACCION]])</f>
        <v>SMS ENTRANTE</v>
      </c>
      <c r="AC49" s="3" t="s">
        <v>122</v>
      </c>
    </row>
    <row r="50" spans="1:29" ht="14.1" customHeight="1" x14ac:dyDescent="0.25">
      <c r="A50" s="4" t="s">
        <v>129</v>
      </c>
      <c r="B50" s="4">
        <v>4245088512</v>
      </c>
      <c r="C50" s="9">
        <v>45728</v>
      </c>
      <c r="D50" s="12">
        <v>0.46104166666666663</v>
      </c>
      <c r="E50" s="4">
        <v>105</v>
      </c>
      <c r="F50" s="3" t="s">
        <v>121</v>
      </c>
      <c r="G50" s="3" t="s">
        <v>20</v>
      </c>
      <c r="H50" s="3" t="str">
        <f>CONCATENATE(Table279[[#This Row],[TIPO_CDR]]," ",Table279[[#This Row],[TRANSACCION]])</f>
        <v>SMS ENTRANTE</v>
      </c>
      <c r="AC50" s="3" t="s">
        <v>122</v>
      </c>
    </row>
    <row r="51" spans="1:29" ht="14.1" customHeight="1" x14ac:dyDescent="0.25">
      <c r="A51" s="4">
        <v>44646</v>
      </c>
      <c r="B51" s="4">
        <v>4245088512</v>
      </c>
      <c r="C51" s="9">
        <v>45732</v>
      </c>
      <c r="D51" s="12">
        <v>0.50250000000000006</v>
      </c>
      <c r="E51" s="4">
        <v>59</v>
      </c>
      <c r="F51" s="3" t="s">
        <v>121</v>
      </c>
      <c r="G51" s="3" t="s">
        <v>20</v>
      </c>
      <c r="H51" s="3" t="str">
        <f>CONCATENATE(Table279[[#This Row],[TIPO_CDR]]," ",Table279[[#This Row],[TRANSACCION]])</f>
        <v>SMS ENTRANTE</v>
      </c>
      <c r="AC51" s="3" t="s">
        <v>127</v>
      </c>
    </row>
    <row r="52" spans="1:29" ht="14.1" customHeight="1" x14ac:dyDescent="0.25">
      <c r="A52" s="4">
        <v>44646</v>
      </c>
      <c r="B52" s="4">
        <v>4245088512</v>
      </c>
      <c r="C52" s="9">
        <v>45732</v>
      </c>
      <c r="D52" s="12">
        <v>0.50237268518518519</v>
      </c>
      <c r="E52" s="4">
        <v>81</v>
      </c>
      <c r="F52" s="3" t="s">
        <v>121</v>
      </c>
      <c r="G52" s="3" t="s">
        <v>20</v>
      </c>
      <c r="H52" s="3" t="str">
        <f>CONCATENATE(Table279[[#This Row],[TIPO_CDR]]," ",Table279[[#This Row],[TRANSACCION]])</f>
        <v>SMS ENTRANTE</v>
      </c>
      <c r="AC52" s="3" t="s">
        <v>127</v>
      </c>
    </row>
    <row r="53" spans="1:29" ht="14.1" customHeight="1" x14ac:dyDescent="0.25">
      <c r="A53" s="4" t="s">
        <v>129</v>
      </c>
      <c r="B53" s="4">
        <v>4245088512</v>
      </c>
      <c r="C53" s="9">
        <v>45744</v>
      </c>
      <c r="D53" s="12">
        <v>0.37763888888888886</v>
      </c>
      <c r="E53" s="4">
        <v>121</v>
      </c>
      <c r="F53" s="3" t="s">
        <v>121</v>
      </c>
      <c r="G53" s="3" t="s">
        <v>20</v>
      </c>
      <c r="H53" s="3" t="str">
        <f>CONCATENATE(Table279[[#This Row],[TIPO_CDR]]," ",Table279[[#This Row],[TRANSACCION]])</f>
        <v>SMS ENTRANTE</v>
      </c>
      <c r="AC53" s="3" t="s">
        <v>122</v>
      </c>
    </row>
    <row r="54" spans="1:29" ht="14.1" customHeight="1" x14ac:dyDescent="0.25">
      <c r="A54" s="4">
        <v>811</v>
      </c>
      <c r="B54" s="4">
        <v>4245088512</v>
      </c>
      <c r="C54" s="9">
        <v>45746</v>
      </c>
      <c r="D54" s="12">
        <v>0.50256944444444451</v>
      </c>
      <c r="E54" s="4">
        <v>69</v>
      </c>
      <c r="F54" s="3" t="s">
        <v>121</v>
      </c>
      <c r="G54" s="3" t="s">
        <v>20</v>
      </c>
      <c r="H54" s="3" t="str">
        <f>CONCATENATE(Table279[[#This Row],[TIPO_CDR]]," ",Table279[[#This Row],[TRANSACCION]])</f>
        <v>SMS ENTRANTE</v>
      </c>
      <c r="AC54" s="3" t="s">
        <v>122</v>
      </c>
    </row>
    <row r="55" spans="1:29" ht="14.1" customHeight="1" x14ac:dyDescent="0.25">
      <c r="A55" s="4" t="s">
        <v>129</v>
      </c>
      <c r="B55" s="4">
        <v>4245088512</v>
      </c>
      <c r="C55" s="9">
        <v>45747</v>
      </c>
      <c r="D55" s="12">
        <v>0.41898148148148145</v>
      </c>
      <c r="E55" s="4">
        <v>123</v>
      </c>
      <c r="F55" s="3" t="s">
        <v>121</v>
      </c>
      <c r="G55" s="3" t="s">
        <v>20</v>
      </c>
      <c r="H55" s="3" t="str">
        <f>CONCATENATE(Table279[[#This Row],[TIPO_CDR]]," ",Table279[[#This Row],[TRANSACCION]])</f>
        <v>SMS ENTRANTE</v>
      </c>
      <c r="AC55" s="3" t="s">
        <v>122</v>
      </c>
    </row>
    <row r="56" spans="1:29" ht="14.1" customHeight="1" x14ac:dyDescent="0.25">
      <c r="A56" s="4">
        <v>4262876159</v>
      </c>
      <c r="B56" s="4">
        <v>4245088512</v>
      </c>
      <c r="C56" s="9">
        <v>45752</v>
      </c>
      <c r="D56" s="12">
        <v>0.50296296296296295</v>
      </c>
      <c r="E56" s="4">
        <v>153</v>
      </c>
      <c r="F56" s="3" t="s">
        <v>121</v>
      </c>
      <c r="G56" s="3" t="s">
        <v>20</v>
      </c>
      <c r="H56" s="3" t="str">
        <f>CONCATENATE(Table279[[#This Row],[TIPO_CDR]]," ",Table279[[#This Row],[TRANSACCION]])</f>
        <v>SMS ENTRANTE</v>
      </c>
      <c r="AC56" s="3" t="s">
        <v>158</v>
      </c>
    </row>
    <row r="57" spans="1:29" ht="14.1" customHeight="1" x14ac:dyDescent="0.25">
      <c r="A57" s="4">
        <v>4262876159</v>
      </c>
      <c r="B57" s="4">
        <v>4245088512</v>
      </c>
      <c r="C57" s="9">
        <v>45752</v>
      </c>
      <c r="D57" s="12">
        <v>0.50299768518518517</v>
      </c>
      <c r="E57" s="4">
        <v>143</v>
      </c>
      <c r="F57" s="3" t="s">
        <v>121</v>
      </c>
      <c r="G57" s="3" t="s">
        <v>20</v>
      </c>
      <c r="H57" s="3" t="str">
        <f>CONCATENATE(Table279[[#This Row],[TIPO_CDR]]," ",Table279[[#This Row],[TRANSACCION]])</f>
        <v>SMS ENTRANTE</v>
      </c>
      <c r="AC57" s="3" t="s">
        <v>158</v>
      </c>
    </row>
    <row r="58" spans="1:29" ht="14.1" customHeight="1" x14ac:dyDescent="0.25">
      <c r="A58" s="4">
        <v>811</v>
      </c>
      <c r="B58" s="4">
        <v>4245088512</v>
      </c>
      <c r="C58" s="9">
        <v>45753</v>
      </c>
      <c r="D58" s="12">
        <v>0.50296296296296295</v>
      </c>
      <c r="E58" s="4">
        <v>69</v>
      </c>
      <c r="F58" s="3" t="s">
        <v>121</v>
      </c>
      <c r="G58" s="3" t="s">
        <v>20</v>
      </c>
      <c r="H58" s="3" t="str">
        <f>CONCATENATE(Table279[[#This Row],[TIPO_CDR]]," ",Table279[[#This Row],[TRANSACCION]])</f>
        <v>SMS ENTRANTE</v>
      </c>
      <c r="AC58" s="3" t="s">
        <v>122</v>
      </c>
    </row>
    <row r="59" spans="1:29" ht="14.1" customHeight="1" x14ac:dyDescent="0.25">
      <c r="A59" s="4">
        <v>811</v>
      </c>
      <c r="B59" s="4">
        <v>4245088512</v>
      </c>
      <c r="C59" s="9">
        <v>45758</v>
      </c>
      <c r="D59" s="12">
        <v>0.33671296296296299</v>
      </c>
      <c r="E59" s="4">
        <v>127</v>
      </c>
      <c r="F59" s="3" t="s">
        <v>121</v>
      </c>
      <c r="G59" s="3" t="s">
        <v>20</v>
      </c>
      <c r="H59" s="3" t="str">
        <f>CONCATENATE(Table279[[#This Row],[TIPO_CDR]]," ",Table279[[#This Row],[TRANSACCION]])</f>
        <v>SMS ENTRANTE</v>
      </c>
      <c r="AC59" s="3" t="s">
        <v>122</v>
      </c>
    </row>
    <row r="60" spans="1:29" ht="14.1" customHeight="1" x14ac:dyDescent="0.25">
      <c r="A60" s="4" t="s">
        <v>129</v>
      </c>
      <c r="B60" s="4">
        <v>4245088512</v>
      </c>
      <c r="C60" s="9">
        <v>45761</v>
      </c>
      <c r="D60" s="12">
        <v>0.46151620370370372</v>
      </c>
      <c r="E60" s="4">
        <v>128</v>
      </c>
      <c r="F60" s="3" t="s">
        <v>121</v>
      </c>
      <c r="G60" s="3" t="s">
        <v>20</v>
      </c>
      <c r="H60" s="3" t="str">
        <f>CONCATENATE(Table279[[#This Row],[TIPO_CDR]]," ",Table279[[#This Row],[TRANSACCION]])</f>
        <v>SMS ENTRANTE</v>
      </c>
      <c r="AC60" s="3" t="s">
        <v>122</v>
      </c>
    </row>
    <row r="61" spans="1:29" ht="14.1" customHeight="1" x14ac:dyDescent="0.25">
      <c r="A61" s="4">
        <v>811</v>
      </c>
      <c r="B61" s="4">
        <v>4245088512</v>
      </c>
      <c r="C61" s="9">
        <v>45763</v>
      </c>
      <c r="D61" s="12">
        <v>0.41996527777777781</v>
      </c>
      <c r="E61" s="4">
        <v>97</v>
      </c>
      <c r="F61" s="3" t="s">
        <v>121</v>
      </c>
      <c r="G61" s="3" t="s">
        <v>20</v>
      </c>
      <c r="H61" s="3" t="str">
        <f>CONCATENATE(Table279[[#This Row],[TIPO_CDR]]," ",Table279[[#This Row],[TRANSACCION]])</f>
        <v>SMS ENTRANTE</v>
      </c>
      <c r="AC61" s="3" t="s">
        <v>122</v>
      </c>
    </row>
    <row r="62" spans="1:29" ht="14.1" customHeight="1" x14ac:dyDescent="0.25">
      <c r="A62" s="4" t="s">
        <v>129</v>
      </c>
      <c r="B62" s="4">
        <v>4245088512</v>
      </c>
      <c r="C62" s="9">
        <v>45777</v>
      </c>
      <c r="D62" s="12">
        <v>0.33628472222222222</v>
      </c>
      <c r="E62" s="4">
        <v>124</v>
      </c>
      <c r="F62" s="3" t="s">
        <v>121</v>
      </c>
      <c r="G62" s="3" t="s">
        <v>20</v>
      </c>
      <c r="H62" s="3" t="str">
        <f>CONCATENATE(Table279[[#This Row],[TIPO_CDR]]," ",Table279[[#This Row],[TRANSACCION]])</f>
        <v>SMS ENTRANTE</v>
      </c>
      <c r="AC62" s="3" t="s">
        <v>122</v>
      </c>
    </row>
    <row r="63" spans="1:29" ht="14.1" customHeight="1" x14ac:dyDescent="0.25">
      <c r="A63" s="4">
        <v>4125141860</v>
      </c>
      <c r="B63" s="4">
        <v>4245088512</v>
      </c>
      <c r="C63" s="9">
        <v>45778</v>
      </c>
      <c r="D63" s="12">
        <v>0.37861111111111106</v>
      </c>
      <c r="E63" s="4">
        <v>153</v>
      </c>
      <c r="F63" s="3" t="s">
        <v>121</v>
      </c>
      <c r="G63" s="3" t="s">
        <v>20</v>
      </c>
      <c r="H63" s="3" t="str">
        <f>CONCATENATE(Table279[[#This Row],[TIPO_CDR]]," ",Table279[[#This Row],[TRANSACCION]])</f>
        <v>SMS ENTRANTE</v>
      </c>
      <c r="AC63" s="3" t="s">
        <v>29</v>
      </c>
    </row>
    <row r="64" spans="1:29" ht="14.1" customHeight="1" x14ac:dyDescent="0.25">
      <c r="A64" s="4">
        <v>4125141860</v>
      </c>
      <c r="B64" s="4">
        <v>4245088512</v>
      </c>
      <c r="C64" s="9">
        <v>45778</v>
      </c>
      <c r="D64" s="12">
        <v>0.37863425925925925</v>
      </c>
      <c r="E64" s="4">
        <v>143</v>
      </c>
      <c r="F64" s="3" t="s">
        <v>121</v>
      </c>
      <c r="G64" s="3" t="s">
        <v>20</v>
      </c>
      <c r="H64" s="3" t="str">
        <f>CONCATENATE(Table279[[#This Row],[TIPO_CDR]]," ",Table279[[#This Row],[TRANSACCION]])</f>
        <v>SMS ENTRANTE</v>
      </c>
      <c r="AC64" s="3" t="s">
        <v>29</v>
      </c>
    </row>
    <row r="65" spans="1:29" ht="14.1" customHeight="1" x14ac:dyDescent="0.25">
      <c r="A65" s="4">
        <v>4123503806</v>
      </c>
      <c r="B65" s="4">
        <v>4245088512</v>
      </c>
      <c r="C65" s="9">
        <v>45780</v>
      </c>
      <c r="D65" s="12">
        <v>0.6287152777777778</v>
      </c>
      <c r="E65" s="4">
        <v>153</v>
      </c>
      <c r="F65" s="3" t="s">
        <v>121</v>
      </c>
      <c r="G65" s="3" t="s">
        <v>20</v>
      </c>
      <c r="H65" s="3" t="str">
        <f>CONCATENATE(Table279[[#This Row],[TIPO_CDR]]," ",Table279[[#This Row],[TRANSACCION]])</f>
        <v>SMS ENTRANTE</v>
      </c>
      <c r="AC65" s="3" t="s">
        <v>29</v>
      </c>
    </row>
    <row r="66" spans="1:29" ht="14.1" customHeight="1" x14ac:dyDescent="0.25">
      <c r="A66" s="4">
        <v>4123503806</v>
      </c>
      <c r="B66" s="4">
        <v>4245088512</v>
      </c>
      <c r="C66" s="9">
        <v>45780</v>
      </c>
      <c r="D66" s="12">
        <v>0.62873842592592599</v>
      </c>
      <c r="E66" s="4">
        <v>61</v>
      </c>
      <c r="F66" s="3" t="s">
        <v>121</v>
      </c>
      <c r="G66" s="3" t="s">
        <v>20</v>
      </c>
      <c r="H66" s="3" t="str">
        <f>CONCATENATE(Table279[[#This Row],[TIPO_CDR]]," ",Table279[[#This Row],[TRANSACCION]])</f>
        <v>SMS ENTRANTE</v>
      </c>
      <c r="AC66" s="3" t="s">
        <v>29</v>
      </c>
    </row>
    <row r="67" spans="1:29" ht="14.1" customHeight="1" x14ac:dyDescent="0.25">
      <c r="A67" s="4">
        <v>2467</v>
      </c>
      <c r="B67" s="4">
        <v>4245088512</v>
      </c>
      <c r="C67" s="9">
        <v>45805</v>
      </c>
      <c r="D67" s="12">
        <v>0.50402777777777774</v>
      </c>
      <c r="E67" s="4">
        <v>154</v>
      </c>
      <c r="F67" s="3" t="s">
        <v>121</v>
      </c>
      <c r="G67" s="3" t="s">
        <v>20</v>
      </c>
      <c r="H67" s="3" t="str">
        <f>CONCATENATE(Table279[[#This Row],[TIPO_CDR]]," ",Table279[[#This Row],[TRANSACCION]])</f>
        <v>SMS ENTRANTE</v>
      </c>
      <c r="AC67" s="3" t="s">
        <v>220</v>
      </c>
    </row>
    <row r="68" spans="1:29" ht="14.1" customHeight="1" x14ac:dyDescent="0.25">
      <c r="A68" s="4" t="s">
        <v>129</v>
      </c>
      <c r="B68" s="4">
        <v>4245088512</v>
      </c>
      <c r="C68" s="9">
        <v>45805</v>
      </c>
      <c r="D68" s="12">
        <v>0.58717592592592593</v>
      </c>
      <c r="E68" s="4">
        <v>120</v>
      </c>
      <c r="F68" s="3" t="s">
        <v>121</v>
      </c>
      <c r="G68" s="3" t="s">
        <v>20</v>
      </c>
      <c r="H68" s="3" t="str">
        <f>CONCATENATE(Table279[[#This Row],[TIPO_CDR]]," ",Table279[[#This Row],[TRANSACCION]])</f>
        <v>SMS ENTRANTE</v>
      </c>
      <c r="AC68" s="3" t="s">
        <v>122</v>
      </c>
    </row>
    <row r="69" spans="1:29" ht="14.1" customHeight="1" x14ac:dyDescent="0.25">
      <c r="A69" s="4">
        <v>4122200255</v>
      </c>
      <c r="B69" s="4">
        <v>4245088512</v>
      </c>
      <c r="C69" s="9">
        <v>45812</v>
      </c>
      <c r="D69" s="12">
        <v>0.37921296296296297</v>
      </c>
      <c r="E69" s="4">
        <v>148</v>
      </c>
      <c r="F69" s="3" t="s">
        <v>121</v>
      </c>
      <c r="G69" s="3" t="s">
        <v>20</v>
      </c>
      <c r="H69" s="3" t="str">
        <f>CONCATENATE(Table279[[#This Row],[TIPO_CDR]]," ",Table279[[#This Row],[TRANSACCION]])</f>
        <v>SMS ENTRANTE</v>
      </c>
      <c r="AC69" s="3" t="s">
        <v>29</v>
      </c>
    </row>
    <row r="70" spans="1:29" ht="14.1" customHeight="1" x14ac:dyDescent="0.25">
      <c r="A70" s="4" t="s">
        <v>129</v>
      </c>
      <c r="B70" s="4">
        <v>4245088512</v>
      </c>
      <c r="C70" s="9">
        <v>45814</v>
      </c>
      <c r="D70" s="12">
        <v>0.4626736111111111</v>
      </c>
      <c r="E70" s="4">
        <v>124</v>
      </c>
      <c r="F70" s="3" t="s">
        <v>121</v>
      </c>
      <c r="G70" s="3" t="s">
        <v>20</v>
      </c>
      <c r="H70" s="3" t="str">
        <f>CONCATENATE(Table279[[#This Row],[TIPO_CDR]]," ",Table279[[#This Row],[TRANSACCION]])</f>
        <v>SMS ENTRANTE</v>
      </c>
      <c r="AC70" s="3" t="s">
        <v>122</v>
      </c>
    </row>
    <row r="71" spans="1:29" ht="14.1" customHeight="1" x14ac:dyDescent="0.25">
      <c r="A71" s="4">
        <v>4265730506</v>
      </c>
      <c r="B71" s="4">
        <v>4245088512</v>
      </c>
      <c r="C71" s="9">
        <v>45931</v>
      </c>
      <c r="D71" s="12">
        <v>0.46546296296296297</v>
      </c>
      <c r="E71" s="4">
        <v>153</v>
      </c>
      <c r="F71" s="3" t="s">
        <v>121</v>
      </c>
      <c r="G71" s="3" t="s">
        <v>20</v>
      </c>
      <c r="H71" s="3" t="str">
        <f>CONCATENATE(Table279[[#This Row],[TIPO_CDR]]," ",Table279[[#This Row],[TRANSACCION]])</f>
        <v>SMS ENTRANTE</v>
      </c>
      <c r="AC71" s="3" t="s">
        <v>158</v>
      </c>
    </row>
    <row r="72" spans="1:29" ht="14.1" customHeight="1" x14ac:dyDescent="0.25">
      <c r="A72" s="4">
        <v>4265730506</v>
      </c>
      <c r="B72" s="4">
        <v>4245088512</v>
      </c>
      <c r="C72" s="9">
        <v>45931</v>
      </c>
      <c r="D72" s="12">
        <v>0.4654861111111111</v>
      </c>
      <c r="E72" s="4">
        <v>119</v>
      </c>
      <c r="F72" s="3" t="s">
        <v>121</v>
      </c>
      <c r="G72" s="3" t="s">
        <v>20</v>
      </c>
      <c r="H72" s="3" t="str">
        <f>CONCATENATE(Table279[[#This Row],[TIPO_CDR]]," ",Table279[[#This Row],[TRANSACCION]])</f>
        <v>SMS ENTRANTE</v>
      </c>
      <c r="AC72" s="3" t="s">
        <v>158</v>
      </c>
    </row>
    <row r="73" spans="1:29" ht="14.1" customHeight="1" x14ac:dyDescent="0.25">
      <c r="A73" s="4">
        <v>2467</v>
      </c>
      <c r="B73" s="4">
        <v>4245088512</v>
      </c>
      <c r="C73" s="9">
        <v>45959</v>
      </c>
      <c r="D73" s="12">
        <v>0.42418981481481483</v>
      </c>
      <c r="E73" s="4">
        <v>133</v>
      </c>
      <c r="F73" s="3" t="s">
        <v>121</v>
      </c>
      <c r="G73" s="3" t="s">
        <v>20</v>
      </c>
      <c r="H73" s="3" t="str">
        <f>CONCATENATE(Table279[[#This Row],[TIPO_CDR]]," ",Table279[[#This Row],[TRANSACCION]])</f>
        <v>SMS ENTRANTE</v>
      </c>
      <c r="AC73" s="3" t="s">
        <v>220</v>
      </c>
    </row>
    <row r="74" spans="1:29" ht="14.1" customHeight="1" x14ac:dyDescent="0.25">
      <c r="A74" s="4">
        <v>4125141860</v>
      </c>
      <c r="B74" s="4">
        <v>4245088512</v>
      </c>
      <c r="C74" s="9">
        <v>45992</v>
      </c>
      <c r="D74" s="12">
        <v>0.50885416666666672</v>
      </c>
      <c r="E74" s="4">
        <v>153</v>
      </c>
      <c r="F74" s="3" t="s">
        <v>121</v>
      </c>
      <c r="G74" s="3" t="s">
        <v>20</v>
      </c>
      <c r="H74" s="3" t="str">
        <f>CONCATENATE(Table279[[#This Row],[TIPO_CDR]]," ",Table279[[#This Row],[TRANSACCION]])</f>
        <v>SMS ENTRANTE</v>
      </c>
      <c r="AC74" s="3" t="s">
        <v>29</v>
      </c>
    </row>
    <row r="75" spans="1:29" ht="14.1" customHeight="1" x14ac:dyDescent="0.25">
      <c r="A75" s="4">
        <v>4125141860</v>
      </c>
      <c r="B75" s="4">
        <v>4245088512</v>
      </c>
      <c r="C75" s="9">
        <v>45992</v>
      </c>
      <c r="D75" s="12">
        <v>0.5088773148148148</v>
      </c>
      <c r="E75" s="4">
        <v>96</v>
      </c>
      <c r="F75" s="3" t="s">
        <v>121</v>
      </c>
      <c r="G75" s="3" t="s">
        <v>20</v>
      </c>
      <c r="H75" s="3" t="str">
        <f>CONCATENATE(Table279[[#This Row],[TIPO_CDR]]," ",Table279[[#This Row],[TRANSACCION]])</f>
        <v>SMS ENTRANTE</v>
      </c>
      <c r="AC75" s="3" t="s">
        <v>29</v>
      </c>
    </row>
    <row r="76" spans="1:29" ht="14.1" customHeight="1" x14ac:dyDescent="0.25">
      <c r="A76" s="4">
        <v>4122200255</v>
      </c>
      <c r="B76" s="4">
        <v>4245088512</v>
      </c>
      <c r="C76" s="9">
        <v>45994</v>
      </c>
      <c r="D76" s="12">
        <v>0.46681712962962968</v>
      </c>
      <c r="E76" s="4">
        <v>153</v>
      </c>
      <c r="F76" s="3" t="s">
        <v>121</v>
      </c>
      <c r="G76" s="3" t="s">
        <v>20</v>
      </c>
      <c r="H76" s="3" t="str">
        <f>CONCATENATE(Table279[[#This Row],[TIPO_CDR]]," ",Table279[[#This Row],[TRANSACCION]])</f>
        <v>SMS ENTRANTE</v>
      </c>
      <c r="AC76" s="3" t="s">
        <v>29</v>
      </c>
    </row>
    <row r="77" spans="1:29" ht="14.1" customHeight="1" x14ac:dyDescent="0.25">
      <c r="A77" s="4">
        <v>4122200255</v>
      </c>
      <c r="B77" s="4">
        <v>4245088512</v>
      </c>
      <c r="C77" s="9">
        <v>45994</v>
      </c>
      <c r="D77" s="12">
        <v>0.46684027777777781</v>
      </c>
      <c r="E77" s="4">
        <v>145</v>
      </c>
      <c r="F77" s="3" t="s">
        <v>121</v>
      </c>
      <c r="G77" s="3" t="s">
        <v>20</v>
      </c>
      <c r="H77" s="3" t="str">
        <f>CONCATENATE(Table279[[#This Row],[TIPO_CDR]]," ",Table279[[#This Row],[TRANSACCION]])</f>
        <v>SMS ENTRANTE</v>
      </c>
      <c r="AC77" s="3" t="s">
        <v>29</v>
      </c>
    </row>
    <row r="78" spans="1:29" ht="14.1" customHeight="1" x14ac:dyDescent="0.25">
      <c r="A78" s="4">
        <v>4122200255</v>
      </c>
      <c r="B78" s="4">
        <v>4245088512</v>
      </c>
      <c r="C78" s="9">
        <v>46000</v>
      </c>
      <c r="D78" s="12">
        <v>0.4253703703703704</v>
      </c>
      <c r="E78" s="4">
        <v>153</v>
      </c>
      <c r="F78" s="3" t="s">
        <v>121</v>
      </c>
      <c r="G78" s="3" t="s">
        <v>20</v>
      </c>
      <c r="H78" s="3" t="str">
        <f>CONCATENATE(Table279[[#This Row],[TIPO_CDR]]," ",Table279[[#This Row],[TRANSACCION]])</f>
        <v>SMS ENTRANTE</v>
      </c>
      <c r="AC78" s="3" t="s">
        <v>29</v>
      </c>
    </row>
    <row r="79" spans="1:29" ht="14.1" customHeight="1" x14ac:dyDescent="0.25">
      <c r="A79" s="4">
        <v>4122200255</v>
      </c>
      <c r="B79" s="4">
        <v>4245088512</v>
      </c>
      <c r="C79" s="9">
        <v>46000</v>
      </c>
      <c r="D79" s="12">
        <v>0.42539351851851853</v>
      </c>
      <c r="E79" s="4">
        <v>145</v>
      </c>
      <c r="F79" s="3" t="s">
        <v>121</v>
      </c>
      <c r="G79" s="3" t="s">
        <v>20</v>
      </c>
      <c r="H79" s="3" t="str">
        <f>CONCATENATE(Table279[[#This Row],[TIPO_CDR]]," ",Table279[[#This Row],[TRANSACCION]])</f>
        <v>SMS ENTRANTE</v>
      </c>
      <c r="AC79" s="3" t="s">
        <v>29</v>
      </c>
    </row>
    <row r="80" spans="1:29" ht="14.1" customHeight="1" x14ac:dyDescent="0.25">
      <c r="A80" s="4">
        <v>4125141860</v>
      </c>
      <c r="B80" s="4">
        <v>4245088512</v>
      </c>
      <c r="C80" s="9">
        <v>46027</v>
      </c>
      <c r="D80" s="12">
        <v>0.41740740740740739</v>
      </c>
      <c r="E80" s="4">
        <v>153</v>
      </c>
      <c r="F80" s="3" t="s">
        <v>121</v>
      </c>
      <c r="G80" s="3" t="s">
        <v>20</v>
      </c>
      <c r="H80" s="3" t="str">
        <f>CONCATENATE(Table279[[#This Row],[TIPO_CDR]]," ",Table279[[#This Row],[TRANSACCION]])</f>
        <v>SMS ENTRANTE</v>
      </c>
      <c r="AC80" s="3" t="s">
        <v>29</v>
      </c>
    </row>
    <row r="81" spans="1:29" ht="14.1" customHeight="1" x14ac:dyDescent="0.25">
      <c r="A81" s="4">
        <v>4125141860</v>
      </c>
      <c r="B81" s="4">
        <v>4245088512</v>
      </c>
      <c r="C81" s="9">
        <v>46027</v>
      </c>
      <c r="D81" s="12">
        <v>0.41743055555555553</v>
      </c>
      <c r="E81" s="4">
        <v>127</v>
      </c>
      <c r="F81" s="3" t="s">
        <v>121</v>
      </c>
      <c r="G81" s="3" t="s">
        <v>20</v>
      </c>
      <c r="H81" s="3" t="str">
        <f>CONCATENATE(Table279[[#This Row],[TIPO_CDR]]," ",Table279[[#This Row],[TRANSACCION]])</f>
        <v>SMS ENTRANTE</v>
      </c>
      <c r="AC8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opLeftCell="T45" workbookViewId="0">
      <selection sqref="A1:AD67"/>
    </sheetView>
  </sheetViews>
  <sheetFormatPr baseColWidth="10" defaultColWidth="14.7109375" defaultRowHeight="14.1" customHeight="1" x14ac:dyDescent="0.25"/>
  <cols>
    <col min="3" max="3" width="14.7109375" style="10"/>
    <col min="4" max="4" width="14.7109375" style="11"/>
    <col min="8" max="8" width="17.85546875" bestFit="1" customWidth="1"/>
  </cols>
  <sheetData>
    <row r="1" spans="1:30" ht="14.1" customHeight="1" x14ac:dyDescent="0.25">
      <c r="A1" t="s">
        <v>86</v>
      </c>
      <c r="B1" t="s">
        <v>87</v>
      </c>
      <c r="C1" s="10" t="s">
        <v>88</v>
      </c>
      <c r="D1" s="11" t="s">
        <v>89</v>
      </c>
      <c r="E1" t="s">
        <v>90</v>
      </c>
      <c r="F1" t="s">
        <v>91</v>
      </c>
      <c r="G1" t="s">
        <v>92</v>
      </c>
      <c r="H1" t="s">
        <v>256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93</v>
      </c>
      <c r="AD1" t="s">
        <v>94</v>
      </c>
    </row>
    <row r="2" spans="1:30" ht="14.1" customHeight="1" x14ac:dyDescent="0.25">
      <c r="A2" s="4">
        <v>4128990551</v>
      </c>
      <c r="B2" s="4">
        <v>4245088512</v>
      </c>
      <c r="C2" s="9">
        <v>45663</v>
      </c>
      <c r="D2" s="12">
        <v>0.63011574074074073</v>
      </c>
      <c r="E2" s="4">
        <v>59</v>
      </c>
      <c r="F2" s="3" t="s">
        <v>19</v>
      </c>
      <c r="G2" s="3" t="s">
        <v>20</v>
      </c>
      <c r="H2" s="3" t="str">
        <f>CONCATENATE(Table27[[#This Row],[TIPO_CDR]]," ",Table27[[#This Row],[TRANSACCION]])</f>
        <v>LLAMADA ENTRANTE</v>
      </c>
      <c r="I2" s="3" t="s">
        <v>22</v>
      </c>
      <c r="J2" s="3" t="s">
        <v>23</v>
      </c>
      <c r="K2" s="3" t="s">
        <v>23</v>
      </c>
      <c r="L2" s="3" t="s">
        <v>22</v>
      </c>
      <c r="M2" s="3" t="s">
        <v>23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29</v>
      </c>
      <c r="Y2" s="3" t="s">
        <v>30</v>
      </c>
      <c r="Z2" s="3" t="s">
        <v>21</v>
      </c>
      <c r="AA2" s="3" t="s">
        <v>30</v>
      </c>
      <c r="AB2" s="3" t="s">
        <v>21</v>
      </c>
      <c r="AC2" s="3" t="s">
        <v>21</v>
      </c>
      <c r="AD2" s="3" t="s">
        <v>21</v>
      </c>
    </row>
    <row r="3" spans="1:30" ht="14.1" customHeight="1" x14ac:dyDescent="0.25">
      <c r="A3" s="4">
        <v>4245109750</v>
      </c>
      <c r="B3" s="4">
        <v>4245088512</v>
      </c>
      <c r="C3" s="9">
        <v>45663</v>
      </c>
      <c r="D3" s="12">
        <v>0.77443287037037034</v>
      </c>
      <c r="E3" s="4">
        <v>98</v>
      </c>
      <c r="F3" s="3" t="s">
        <v>19</v>
      </c>
      <c r="G3" s="3" t="s">
        <v>20</v>
      </c>
      <c r="H3" s="3" t="str">
        <f>CONCATENATE(Table27[[#This Row],[TIPO_CDR]]," ",Table27[[#This Row],[TRANSACCION]])</f>
        <v>LLAMADA ENTRANTE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37</v>
      </c>
      <c r="N3" s="3" t="s">
        <v>38</v>
      </c>
      <c r="O3" s="3" t="s">
        <v>24</v>
      </c>
      <c r="P3" s="3" t="s">
        <v>25</v>
      </c>
      <c r="Q3" s="3" t="s">
        <v>40</v>
      </c>
      <c r="R3" s="3" t="s">
        <v>27</v>
      </c>
      <c r="S3" s="3" t="s">
        <v>28</v>
      </c>
      <c r="T3" s="3" t="s">
        <v>26</v>
      </c>
      <c r="U3" s="3" t="s">
        <v>27</v>
      </c>
      <c r="V3" s="3" t="s">
        <v>28</v>
      </c>
      <c r="W3" s="3" t="s">
        <v>41</v>
      </c>
      <c r="X3" s="3" t="s">
        <v>41</v>
      </c>
      <c r="Y3" s="3" t="s">
        <v>21</v>
      </c>
      <c r="Z3" s="3" t="s">
        <v>21</v>
      </c>
      <c r="AA3" s="3" t="s">
        <v>21</v>
      </c>
      <c r="AB3" s="3" t="s">
        <v>21</v>
      </c>
      <c r="AC3" s="3" t="s">
        <v>34</v>
      </c>
      <c r="AD3" s="3" t="s">
        <v>35</v>
      </c>
    </row>
    <row r="4" spans="1:30" ht="14.1" customHeight="1" x14ac:dyDescent="0.25">
      <c r="A4" s="4">
        <v>4245088512</v>
      </c>
      <c r="B4" s="4">
        <v>4245109750</v>
      </c>
      <c r="C4" s="9">
        <v>45664</v>
      </c>
      <c r="D4" s="12">
        <v>0.45848379629629626</v>
      </c>
      <c r="E4" s="4">
        <v>97</v>
      </c>
      <c r="F4" s="3" t="s">
        <v>19</v>
      </c>
      <c r="G4" s="3" t="s">
        <v>45</v>
      </c>
      <c r="H4" s="3" t="str">
        <f>CONCATENATE(Table27[[#This Row],[TIPO_CDR]]," ",Table27[[#This Row],[TRANSACCION]])</f>
        <v>LLAMADA SALIENTE</v>
      </c>
      <c r="I4" s="3" t="s">
        <v>46</v>
      </c>
      <c r="J4" s="3" t="s">
        <v>47</v>
      </c>
      <c r="K4" s="3" t="s">
        <v>48</v>
      </c>
      <c r="L4" s="3" t="s">
        <v>46</v>
      </c>
      <c r="M4" s="3" t="s">
        <v>47</v>
      </c>
      <c r="N4" s="3" t="s">
        <v>48</v>
      </c>
      <c r="O4" s="3" t="s">
        <v>34</v>
      </c>
      <c r="P4" s="3" t="s">
        <v>35</v>
      </c>
      <c r="Q4" s="3" t="s">
        <v>49</v>
      </c>
      <c r="R4" s="3" t="s">
        <v>47</v>
      </c>
      <c r="S4" s="3" t="s">
        <v>48</v>
      </c>
      <c r="T4" s="3" t="s">
        <v>49</v>
      </c>
      <c r="U4" s="3" t="s">
        <v>47</v>
      </c>
      <c r="V4" s="3" t="s">
        <v>48</v>
      </c>
      <c r="W4" s="3" t="s">
        <v>41</v>
      </c>
      <c r="X4" s="3" t="s">
        <v>41</v>
      </c>
      <c r="Y4" s="3" t="s">
        <v>21</v>
      </c>
      <c r="Z4" s="3" t="s">
        <v>21</v>
      </c>
      <c r="AA4" s="3" t="s">
        <v>21</v>
      </c>
      <c r="AB4" s="3" t="s">
        <v>21</v>
      </c>
      <c r="AC4" s="3" t="s">
        <v>24</v>
      </c>
      <c r="AD4" s="3" t="s">
        <v>25</v>
      </c>
    </row>
    <row r="5" spans="1:30" ht="14.1" customHeight="1" x14ac:dyDescent="0.25">
      <c r="A5" s="4">
        <v>4245088512</v>
      </c>
      <c r="B5" s="4">
        <v>4245109750</v>
      </c>
      <c r="C5" s="9">
        <v>45664</v>
      </c>
      <c r="D5" s="12">
        <v>0.48185185185185181</v>
      </c>
      <c r="E5" s="4">
        <v>31</v>
      </c>
      <c r="F5" s="3" t="s">
        <v>19</v>
      </c>
      <c r="G5" s="3" t="s">
        <v>45</v>
      </c>
      <c r="H5" s="3" t="str">
        <f>CONCATENATE(Table27[[#This Row],[TIPO_CDR]]," ",Table27[[#This Row],[TRANSACCION]])</f>
        <v>LLAMADA SALIENTE</v>
      </c>
      <c r="I5" s="3" t="s">
        <v>46</v>
      </c>
      <c r="J5" s="3" t="s">
        <v>47</v>
      </c>
      <c r="K5" s="3" t="s">
        <v>48</v>
      </c>
      <c r="L5" s="3" t="s">
        <v>46</v>
      </c>
      <c r="M5" s="3" t="s">
        <v>47</v>
      </c>
      <c r="N5" s="3" t="s">
        <v>48</v>
      </c>
      <c r="O5" s="3" t="s">
        <v>34</v>
      </c>
      <c r="P5" s="3" t="s">
        <v>35</v>
      </c>
      <c r="Q5" s="3" t="s">
        <v>49</v>
      </c>
      <c r="R5" s="3" t="s">
        <v>47</v>
      </c>
      <c r="S5" s="3" t="s">
        <v>48</v>
      </c>
      <c r="T5" s="3" t="s">
        <v>49</v>
      </c>
      <c r="U5" s="3" t="s">
        <v>47</v>
      </c>
      <c r="V5" s="3" t="s">
        <v>48</v>
      </c>
      <c r="W5" s="3" t="s">
        <v>41</v>
      </c>
      <c r="X5" s="3" t="s">
        <v>41</v>
      </c>
      <c r="Y5" s="3" t="s">
        <v>21</v>
      </c>
      <c r="Z5" s="3" t="s">
        <v>21</v>
      </c>
      <c r="AA5" s="3" t="s">
        <v>21</v>
      </c>
      <c r="AB5" s="3" t="s">
        <v>21</v>
      </c>
      <c r="AC5" s="3" t="s">
        <v>24</v>
      </c>
      <c r="AD5" s="3" t="s">
        <v>25</v>
      </c>
    </row>
    <row r="6" spans="1:30" ht="14.1" customHeight="1" x14ac:dyDescent="0.25">
      <c r="A6" s="4">
        <v>2128027511</v>
      </c>
      <c r="B6" s="4">
        <v>4245088512</v>
      </c>
      <c r="C6" s="9">
        <v>45664</v>
      </c>
      <c r="D6" s="12">
        <v>0.63126157407407402</v>
      </c>
      <c r="E6" s="4">
        <v>42</v>
      </c>
      <c r="F6" s="3" t="s">
        <v>19</v>
      </c>
      <c r="G6" s="3" t="s">
        <v>20</v>
      </c>
      <c r="H6" s="3" t="str">
        <f>CONCATENATE(Table27[[#This Row],[TIPO_CDR]]," ",Table27[[#This Row],[TRANSACCION]])</f>
        <v>LLAMADA ENTRANTE</v>
      </c>
      <c r="I6" s="3" t="s">
        <v>22</v>
      </c>
      <c r="J6" s="3" t="s">
        <v>23</v>
      </c>
      <c r="K6" s="3" t="s">
        <v>23</v>
      </c>
      <c r="L6" s="3" t="s">
        <v>22</v>
      </c>
      <c r="M6" s="3" t="s">
        <v>23</v>
      </c>
      <c r="N6" s="3" t="s">
        <v>23</v>
      </c>
      <c r="O6" s="3" t="s">
        <v>24</v>
      </c>
      <c r="P6" s="3" t="s">
        <v>25</v>
      </c>
      <c r="Q6" s="3" t="s">
        <v>55</v>
      </c>
      <c r="R6" s="3" t="s">
        <v>27</v>
      </c>
      <c r="S6" s="3" t="s">
        <v>28</v>
      </c>
      <c r="T6" s="3" t="s">
        <v>40</v>
      </c>
      <c r="U6" s="3" t="s">
        <v>27</v>
      </c>
      <c r="V6" s="3" t="s">
        <v>28</v>
      </c>
      <c r="W6" s="3" t="s">
        <v>56</v>
      </c>
      <c r="X6" s="3" t="s">
        <v>56</v>
      </c>
      <c r="Y6" s="3" t="s">
        <v>57</v>
      </c>
      <c r="Z6" s="3" t="s">
        <v>21</v>
      </c>
      <c r="AA6" s="3" t="s">
        <v>57</v>
      </c>
      <c r="AB6" s="3" t="s">
        <v>21</v>
      </c>
      <c r="AC6" s="3" t="s">
        <v>21</v>
      </c>
      <c r="AD6" s="3" t="s">
        <v>21</v>
      </c>
    </row>
    <row r="7" spans="1:30" ht="14.1" customHeight="1" x14ac:dyDescent="0.25">
      <c r="A7" s="4">
        <v>4245109750</v>
      </c>
      <c r="B7" s="4">
        <v>4245088512</v>
      </c>
      <c r="C7" s="9">
        <v>45674</v>
      </c>
      <c r="D7" s="12">
        <v>0.41689814814814818</v>
      </c>
      <c r="E7" s="4">
        <v>179</v>
      </c>
      <c r="F7" s="3" t="s">
        <v>19</v>
      </c>
      <c r="G7" s="3" t="s">
        <v>20</v>
      </c>
      <c r="H7" s="3" t="str">
        <f>CONCATENATE(Table27[[#This Row],[TIPO_CDR]]," ",Table27[[#This Row],[TRANSACCION]])</f>
        <v>LLAMADA ENTRANTE</v>
      </c>
      <c r="I7" s="3" t="s">
        <v>36</v>
      </c>
      <c r="J7" s="3" t="s">
        <v>37</v>
      </c>
      <c r="K7" s="3" t="s">
        <v>38</v>
      </c>
      <c r="L7" s="3" t="s">
        <v>61</v>
      </c>
      <c r="M7" s="3" t="s">
        <v>37</v>
      </c>
      <c r="N7" s="3" t="s">
        <v>38</v>
      </c>
      <c r="O7" s="3" t="s">
        <v>24</v>
      </c>
      <c r="P7" s="3" t="s">
        <v>25</v>
      </c>
      <c r="Q7" s="3" t="s">
        <v>40</v>
      </c>
      <c r="R7" s="3" t="s">
        <v>27</v>
      </c>
      <c r="S7" s="3" t="s">
        <v>28</v>
      </c>
      <c r="T7" s="3" t="s">
        <v>55</v>
      </c>
      <c r="U7" s="3" t="s">
        <v>27</v>
      </c>
      <c r="V7" s="3" t="s">
        <v>28</v>
      </c>
      <c r="W7" s="3" t="s">
        <v>41</v>
      </c>
      <c r="X7" s="3" t="s">
        <v>41</v>
      </c>
      <c r="Y7" s="3" t="s">
        <v>21</v>
      </c>
      <c r="Z7" s="3" t="s">
        <v>21</v>
      </c>
      <c r="AA7" s="3" t="s">
        <v>21</v>
      </c>
      <c r="AB7" s="3" t="s">
        <v>21</v>
      </c>
      <c r="AC7" s="3" t="s">
        <v>34</v>
      </c>
      <c r="AD7" s="3" t="s">
        <v>35</v>
      </c>
    </row>
    <row r="8" spans="1:30" ht="14.1" customHeight="1" x14ac:dyDescent="0.25">
      <c r="A8" s="4">
        <v>4245109750</v>
      </c>
      <c r="B8" s="4">
        <v>4245088512</v>
      </c>
      <c r="C8" s="9">
        <v>45674</v>
      </c>
      <c r="D8" s="12">
        <v>0.42592592592592587</v>
      </c>
      <c r="E8" s="4">
        <v>57</v>
      </c>
      <c r="F8" s="3" t="s">
        <v>19</v>
      </c>
      <c r="G8" s="3" t="s">
        <v>20</v>
      </c>
      <c r="H8" s="3" t="str">
        <f>CONCATENATE(Table27[[#This Row],[TIPO_CDR]]," ",Table27[[#This Row],[TRANSACCION]])</f>
        <v>LLAMADA ENTRANTE</v>
      </c>
      <c r="I8" s="3" t="s">
        <v>36</v>
      </c>
      <c r="J8" s="3" t="s">
        <v>37</v>
      </c>
      <c r="K8" s="3" t="s">
        <v>38</v>
      </c>
      <c r="L8" s="3" t="s">
        <v>39</v>
      </c>
      <c r="M8" s="3" t="s">
        <v>37</v>
      </c>
      <c r="N8" s="3" t="s">
        <v>38</v>
      </c>
      <c r="O8" s="3" t="s">
        <v>24</v>
      </c>
      <c r="P8" s="3" t="s">
        <v>25</v>
      </c>
      <c r="Q8" s="3" t="s">
        <v>40</v>
      </c>
      <c r="R8" s="3" t="s">
        <v>27</v>
      </c>
      <c r="S8" s="3" t="s">
        <v>28</v>
      </c>
      <c r="T8" s="3" t="s">
        <v>26</v>
      </c>
      <c r="U8" s="3" t="s">
        <v>27</v>
      </c>
      <c r="V8" s="3" t="s">
        <v>28</v>
      </c>
      <c r="W8" s="3" t="s">
        <v>41</v>
      </c>
      <c r="X8" s="3" t="s">
        <v>41</v>
      </c>
      <c r="Y8" s="3" t="s">
        <v>21</v>
      </c>
      <c r="Z8" s="3" t="s">
        <v>21</v>
      </c>
      <c r="AA8" s="3" t="s">
        <v>21</v>
      </c>
      <c r="AB8" s="3" t="s">
        <v>21</v>
      </c>
      <c r="AC8" s="3" t="s">
        <v>34</v>
      </c>
      <c r="AD8" s="3" t="s">
        <v>35</v>
      </c>
    </row>
    <row r="9" spans="1:30" ht="14.1" customHeight="1" x14ac:dyDescent="0.25">
      <c r="A9" s="4">
        <v>4245109750</v>
      </c>
      <c r="B9" s="4">
        <v>4245088512</v>
      </c>
      <c r="C9" s="9">
        <v>45674</v>
      </c>
      <c r="D9" s="12">
        <v>0.45332175925925927</v>
      </c>
      <c r="E9" s="4">
        <v>27</v>
      </c>
      <c r="F9" s="3" t="s">
        <v>19</v>
      </c>
      <c r="G9" s="3" t="s">
        <v>20</v>
      </c>
      <c r="H9" s="3" t="str">
        <f>CONCATENATE(Table27[[#This Row],[TIPO_CDR]]," ",Table27[[#This Row],[TRANSACCION]])</f>
        <v>LLAMADA ENTRANTE</v>
      </c>
      <c r="I9" s="3" t="s">
        <v>36</v>
      </c>
      <c r="J9" s="3" t="s">
        <v>37</v>
      </c>
      <c r="K9" s="3" t="s">
        <v>38</v>
      </c>
      <c r="L9" s="3" t="s">
        <v>39</v>
      </c>
      <c r="M9" s="3" t="s">
        <v>37</v>
      </c>
      <c r="N9" s="3" t="s">
        <v>38</v>
      </c>
      <c r="O9" s="3" t="s">
        <v>24</v>
      </c>
      <c r="P9" s="3" t="s">
        <v>25</v>
      </c>
      <c r="Q9" s="3" t="s">
        <v>26</v>
      </c>
      <c r="R9" s="3" t="s">
        <v>27</v>
      </c>
      <c r="S9" s="3" t="s">
        <v>28</v>
      </c>
      <c r="T9" s="3" t="s">
        <v>26</v>
      </c>
      <c r="U9" s="3" t="s">
        <v>27</v>
      </c>
      <c r="V9" s="3" t="s">
        <v>28</v>
      </c>
      <c r="W9" s="3" t="s">
        <v>41</v>
      </c>
      <c r="X9" s="3" t="s">
        <v>41</v>
      </c>
      <c r="Y9" s="3" t="s">
        <v>21</v>
      </c>
      <c r="Z9" s="3" t="s">
        <v>21</v>
      </c>
      <c r="AA9" s="3" t="s">
        <v>21</v>
      </c>
      <c r="AB9" s="3" t="s">
        <v>21</v>
      </c>
      <c r="AC9" s="3" t="s">
        <v>34</v>
      </c>
      <c r="AD9" s="3" t="s">
        <v>35</v>
      </c>
    </row>
    <row r="10" spans="1:30" ht="14.1" customHeight="1" x14ac:dyDescent="0.25">
      <c r="A10" s="4">
        <v>4245109750</v>
      </c>
      <c r="B10" s="4">
        <v>4245088512</v>
      </c>
      <c r="C10" s="9">
        <v>45674</v>
      </c>
      <c r="D10" s="12">
        <v>0.47658564814814813</v>
      </c>
      <c r="E10" s="4">
        <v>79</v>
      </c>
      <c r="F10" s="3" t="s">
        <v>19</v>
      </c>
      <c r="G10" s="3" t="s">
        <v>20</v>
      </c>
      <c r="H10" s="3" t="str">
        <f>CONCATENATE(Table27[[#This Row],[TIPO_CDR]]," ",Table27[[#This Row],[TRANSACCION]])</f>
        <v>LLAMADA ENTRANTE</v>
      </c>
      <c r="I10" s="3" t="s">
        <v>36</v>
      </c>
      <c r="J10" s="3" t="s">
        <v>37</v>
      </c>
      <c r="K10" s="3" t="s">
        <v>38</v>
      </c>
      <c r="L10" s="3" t="s">
        <v>61</v>
      </c>
      <c r="M10" s="3" t="s">
        <v>37</v>
      </c>
      <c r="N10" s="3" t="s">
        <v>38</v>
      </c>
      <c r="O10" s="3" t="s">
        <v>24</v>
      </c>
      <c r="P10" s="3" t="s">
        <v>25</v>
      </c>
      <c r="Q10" s="3" t="s">
        <v>40</v>
      </c>
      <c r="R10" s="3" t="s">
        <v>27</v>
      </c>
      <c r="S10" s="3" t="s">
        <v>28</v>
      </c>
      <c r="T10" s="3" t="s">
        <v>40</v>
      </c>
      <c r="U10" s="3" t="s">
        <v>27</v>
      </c>
      <c r="V10" s="3" t="s">
        <v>28</v>
      </c>
      <c r="W10" s="3" t="s">
        <v>41</v>
      </c>
      <c r="X10" s="3" t="s">
        <v>41</v>
      </c>
      <c r="Y10" s="3" t="s">
        <v>21</v>
      </c>
      <c r="Z10" s="3" t="s">
        <v>21</v>
      </c>
      <c r="AA10" s="3" t="s">
        <v>21</v>
      </c>
      <c r="AB10" s="3" t="s">
        <v>21</v>
      </c>
      <c r="AC10" s="3" t="s">
        <v>34</v>
      </c>
      <c r="AD10" s="3" t="s">
        <v>35</v>
      </c>
    </row>
    <row r="11" spans="1:30" ht="14.1" customHeight="1" x14ac:dyDescent="0.25">
      <c r="A11" s="4">
        <v>4245109750</v>
      </c>
      <c r="B11" s="4">
        <v>4245088512</v>
      </c>
      <c r="C11" s="9">
        <v>45676</v>
      </c>
      <c r="D11" s="12">
        <v>0.7465046296296296</v>
      </c>
      <c r="E11" s="4">
        <v>46</v>
      </c>
      <c r="F11" s="3" t="s">
        <v>19</v>
      </c>
      <c r="G11" s="3" t="s">
        <v>20</v>
      </c>
      <c r="H11" s="3" t="str">
        <f>CONCATENATE(Table27[[#This Row],[TIPO_CDR]]," ",Table27[[#This Row],[TRANSACCION]])</f>
        <v>LLAMADA ENTRANTE</v>
      </c>
      <c r="I11" s="3" t="s">
        <v>26</v>
      </c>
      <c r="J11" s="3" t="s">
        <v>27</v>
      </c>
      <c r="K11" s="3" t="s">
        <v>28</v>
      </c>
      <c r="L11" s="3" t="s">
        <v>26</v>
      </c>
      <c r="M11" s="3" t="s">
        <v>27</v>
      </c>
      <c r="N11" s="3" t="s">
        <v>28</v>
      </c>
      <c r="O11" s="3" t="s">
        <v>24</v>
      </c>
      <c r="P11" s="3" t="s">
        <v>25</v>
      </c>
      <c r="Q11" s="3" t="s">
        <v>40</v>
      </c>
      <c r="R11" s="3" t="s">
        <v>27</v>
      </c>
      <c r="S11" s="3" t="s">
        <v>28</v>
      </c>
      <c r="T11" s="3" t="s">
        <v>40</v>
      </c>
      <c r="U11" s="3" t="s">
        <v>27</v>
      </c>
      <c r="V11" s="3" t="s">
        <v>28</v>
      </c>
      <c r="W11" s="3" t="s">
        <v>41</v>
      </c>
      <c r="X11" s="3" t="s">
        <v>41</v>
      </c>
      <c r="Y11" s="3" t="s">
        <v>21</v>
      </c>
      <c r="Z11" s="3" t="s">
        <v>21</v>
      </c>
      <c r="AA11" s="3" t="s">
        <v>21</v>
      </c>
      <c r="AB11" s="3" t="s">
        <v>21</v>
      </c>
      <c r="AC11" s="3" t="s">
        <v>34</v>
      </c>
      <c r="AD11" s="3" t="s">
        <v>35</v>
      </c>
    </row>
    <row r="12" spans="1:30" ht="14.1" customHeight="1" x14ac:dyDescent="0.25">
      <c r="A12" s="4">
        <v>4245109750</v>
      </c>
      <c r="B12" s="4">
        <v>4245088512</v>
      </c>
      <c r="C12" s="9">
        <v>45678</v>
      </c>
      <c r="D12" s="12">
        <v>0.43458333333333332</v>
      </c>
      <c r="E12" s="4">
        <v>88</v>
      </c>
      <c r="F12" s="3" t="s">
        <v>19</v>
      </c>
      <c r="G12" s="3" t="s">
        <v>20</v>
      </c>
      <c r="H12" s="3" t="str">
        <f>CONCATENATE(Table27[[#This Row],[TIPO_CDR]]," ",Table27[[#This Row],[TRANSACCION]])</f>
        <v>LLAMADA ENTRANTE</v>
      </c>
      <c r="I12" s="3" t="s">
        <v>74</v>
      </c>
      <c r="J12" s="3" t="s">
        <v>75</v>
      </c>
      <c r="K12" s="3" t="s">
        <v>76</v>
      </c>
      <c r="L12" s="3" t="s">
        <v>74</v>
      </c>
      <c r="M12" s="3" t="s">
        <v>75</v>
      </c>
      <c r="N12" s="3" t="s">
        <v>76</v>
      </c>
      <c r="O12" s="3" t="s">
        <v>24</v>
      </c>
      <c r="P12" s="3" t="s">
        <v>25</v>
      </c>
      <c r="Q12" s="3" t="s">
        <v>55</v>
      </c>
      <c r="R12" s="3" t="s">
        <v>27</v>
      </c>
      <c r="S12" s="3" t="s">
        <v>28</v>
      </c>
      <c r="T12" s="3" t="s">
        <v>40</v>
      </c>
      <c r="U12" s="3" t="s">
        <v>27</v>
      </c>
      <c r="V12" s="3" t="s">
        <v>28</v>
      </c>
      <c r="W12" s="3" t="s">
        <v>41</v>
      </c>
      <c r="X12" s="3" t="s">
        <v>41</v>
      </c>
      <c r="Y12" s="3" t="s">
        <v>21</v>
      </c>
      <c r="Z12" s="3" t="s">
        <v>21</v>
      </c>
      <c r="AA12" s="3" t="s">
        <v>21</v>
      </c>
      <c r="AB12" s="3" t="s">
        <v>21</v>
      </c>
      <c r="AC12" s="3" t="s">
        <v>34</v>
      </c>
      <c r="AD12" s="3" t="s">
        <v>35</v>
      </c>
    </row>
    <row r="13" spans="1:30" ht="14.1" customHeight="1" x14ac:dyDescent="0.25">
      <c r="A13" s="4">
        <v>4245109750</v>
      </c>
      <c r="B13" s="4">
        <v>4245088512</v>
      </c>
      <c r="C13" s="9">
        <v>45684</v>
      </c>
      <c r="D13" s="12">
        <v>0.77747685185185189</v>
      </c>
      <c r="E13" s="4">
        <v>45</v>
      </c>
      <c r="F13" s="3" t="s">
        <v>19</v>
      </c>
      <c r="G13" s="3" t="s">
        <v>20</v>
      </c>
      <c r="H13" s="3" t="str">
        <f>CONCATENATE(Table27[[#This Row],[TIPO_CDR]]," ",Table27[[#This Row],[TRANSACCION]])</f>
        <v>LLAMADA ENTRANTE</v>
      </c>
      <c r="I13" s="3" t="s">
        <v>36</v>
      </c>
      <c r="J13" s="3" t="s">
        <v>37</v>
      </c>
      <c r="K13" s="3" t="s">
        <v>38</v>
      </c>
      <c r="L13" s="3" t="s">
        <v>61</v>
      </c>
      <c r="M13" s="3" t="s">
        <v>37</v>
      </c>
      <c r="N13" s="3" t="s">
        <v>38</v>
      </c>
      <c r="O13" s="3" t="s">
        <v>24</v>
      </c>
      <c r="P13" s="3" t="s">
        <v>25</v>
      </c>
      <c r="Q13" s="3" t="s">
        <v>26</v>
      </c>
      <c r="R13" s="3" t="s">
        <v>27</v>
      </c>
      <c r="S13" s="3" t="s">
        <v>28</v>
      </c>
      <c r="T13" s="3" t="s">
        <v>80</v>
      </c>
      <c r="U13" s="3" t="s">
        <v>81</v>
      </c>
      <c r="V13" s="3" t="s">
        <v>82</v>
      </c>
      <c r="W13" s="3" t="s">
        <v>41</v>
      </c>
      <c r="X13" s="3" t="s">
        <v>41</v>
      </c>
      <c r="Y13" s="3" t="s">
        <v>21</v>
      </c>
      <c r="Z13" s="3" t="s">
        <v>21</v>
      </c>
      <c r="AA13" s="3" t="s">
        <v>21</v>
      </c>
      <c r="AB13" s="3" t="s">
        <v>21</v>
      </c>
      <c r="AC13" s="3" t="s">
        <v>34</v>
      </c>
      <c r="AD13" s="3" t="s">
        <v>35</v>
      </c>
    </row>
    <row r="14" spans="1:30" ht="14.1" customHeight="1" x14ac:dyDescent="0.25">
      <c r="A14" s="4">
        <v>4245109750</v>
      </c>
      <c r="B14" s="4">
        <v>4245088512</v>
      </c>
      <c r="C14" s="9">
        <v>45702</v>
      </c>
      <c r="D14" s="12">
        <v>0.37739583333333332</v>
      </c>
      <c r="E14" s="4">
        <v>29</v>
      </c>
      <c r="F14" s="3" t="s">
        <v>19</v>
      </c>
      <c r="G14" s="3" t="s">
        <v>20</v>
      </c>
      <c r="H14" s="3" t="str">
        <f>CONCATENATE(Table27[[#This Row],[TIPO_CDR]]," ",Table27[[#This Row],[TRANSACCION]])</f>
        <v>LLAMADA ENTRANTE</v>
      </c>
      <c r="I14" s="3" t="s">
        <v>61</v>
      </c>
      <c r="J14" s="3" t="s">
        <v>37</v>
      </c>
      <c r="K14" s="3" t="s">
        <v>38</v>
      </c>
      <c r="L14" s="3" t="s">
        <v>61</v>
      </c>
      <c r="M14" s="3" t="s">
        <v>37</v>
      </c>
      <c r="N14" s="3" t="s">
        <v>38</v>
      </c>
      <c r="O14" s="3" t="s">
        <v>24</v>
      </c>
      <c r="P14" s="3" t="s">
        <v>25</v>
      </c>
      <c r="Q14" s="3" t="s">
        <v>40</v>
      </c>
      <c r="R14" s="3" t="s">
        <v>27</v>
      </c>
      <c r="S14" s="3" t="s">
        <v>28</v>
      </c>
      <c r="T14" s="3" t="s">
        <v>40</v>
      </c>
      <c r="U14" s="3" t="s">
        <v>27</v>
      </c>
      <c r="V14" s="3" t="s">
        <v>28</v>
      </c>
      <c r="W14" s="3" t="s">
        <v>41</v>
      </c>
      <c r="X14" s="3" t="s">
        <v>41</v>
      </c>
      <c r="Y14" s="3" t="s">
        <v>21</v>
      </c>
      <c r="Z14" s="3" t="s">
        <v>21</v>
      </c>
      <c r="AA14" s="3" t="s">
        <v>21</v>
      </c>
      <c r="AB14" s="3" t="s">
        <v>21</v>
      </c>
      <c r="AC14" s="3" t="s">
        <v>34</v>
      </c>
      <c r="AD14" s="3" t="s">
        <v>35</v>
      </c>
    </row>
    <row r="15" spans="1:30" ht="14.1" customHeight="1" x14ac:dyDescent="0.25">
      <c r="A15" s="4">
        <v>811</v>
      </c>
      <c r="B15" s="4">
        <v>4245088512</v>
      </c>
      <c r="C15" s="9">
        <v>45667</v>
      </c>
      <c r="D15" s="12">
        <v>0.37598379629629625</v>
      </c>
      <c r="E15" s="4">
        <v>95</v>
      </c>
      <c r="F15" s="3" t="s">
        <v>121</v>
      </c>
      <c r="G15" s="3" t="s">
        <v>20</v>
      </c>
      <c r="H15" s="3" t="str">
        <f>CONCATENATE(Table27[[#This Row],[TIPO_CDR]]," ",Table27[[#This Row],[TRANSACCION]])</f>
        <v>SMS ENTRANTE</v>
      </c>
      <c r="AC15" s="3" t="s">
        <v>122</v>
      </c>
    </row>
    <row r="16" spans="1:30" ht="14.1" customHeight="1" x14ac:dyDescent="0.25">
      <c r="A16" s="4">
        <v>44646</v>
      </c>
      <c r="B16" s="4">
        <v>4245088512</v>
      </c>
      <c r="C16" s="9">
        <v>45670</v>
      </c>
      <c r="D16" s="12">
        <v>0.45902777777777781</v>
      </c>
      <c r="E16" s="4">
        <v>149</v>
      </c>
      <c r="F16" s="3" t="s">
        <v>121</v>
      </c>
      <c r="G16" s="3" t="s">
        <v>20</v>
      </c>
      <c r="H16" s="3" t="str">
        <f>CONCATENATE(Table27[[#This Row],[TIPO_CDR]]," ",Table27[[#This Row],[TRANSACCION]])</f>
        <v>SMS ENTRANTE</v>
      </c>
      <c r="AC16" s="3" t="s">
        <v>127</v>
      </c>
    </row>
    <row r="17" spans="1:29" ht="14.1" customHeight="1" x14ac:dyDescent="0.25">
      <c r="A17" s="4">
        <v>44646</v>
      </c>
      <c r="B17" s="4">
        <v>4245088512</v>
      </c>
      <c r="C17" s="9">
        <v>45670</v>
      </c>
      <c r="D17" s="12">
        <v>0.5427777777777778</v>
      </c>
      <c r="E17" s="4">
        <v>149</v>
      </c>
      <c r="F17" s="3" t="s">
        <v>121</v>
      </c>
      <c r="G17" s="3" t="s">
        <v>20</v>
      </c>
      <c r="H17" s="3" t="str">
        <f>CONCATENATE(Table27[[#This Row],[TIPO_CDR]]," ",Table27[[#This Row],[TRANSACCION]])</f>
        <v>SMS ENTRANTE</v>
      </c>
      <c r="AC17" s="3" t="s">
        <v>127</v>
      </c>
    </row>
    <row r="18" spans="1:29" ht="14.1" customHeight="1" x14ac:dyDescent="0.25">
      <c r="A18" s="4" t="s">
        <v>129</v>
      </c>
      <c r="B18" s="4">
        <v>4245088512</v>
      </c>
      <c r="C18" s="9">
        <v>45670</v>
      </c>
      <c r="D18" s="12">
        <v>0.7512847222222222</v>
      </c>
      <c r="E18" s="4">
        <v>121</v>
      </c>
      <c r="F18" s="3" t="s">
        <v>121</v>
      </c>
      <c r="G18" s="3" t="s">
        <v>20</v>
      </c>
      <c r="H18" s="3" t="str">
        <f>CONCATENATE(Table27[[#This Row],[TIPO_CDR]]," ",Table27[[#This Row],[TRANSACCION]])</f>
        <v>SMS ENTRANTE</v>
      </c>
      <c r="AC18" s="3" t="s">
        <v>122</v>
      </c>
    </row>
    <row r="19" spans="1:29" ht="14.1" customHeight="1" x14ac:dyDescent="0.25">
      <c r="A19" s="4" t="s">
        <v>129</v>
      </c>
      <c r="B19" s="4">
        <v>4245088512</v>
      </c>
      <c r="C19" s="9">
        <v>45672</v>
      </c>
      <c r="D19" s="12">
        <v>0.33471064814814816</v>
      </c>
      <c r="E19" s="4">
        <v>89</v>
      </c>
      <c r="F19" s="3" t="s">
        <v>121</v>
      </c>
      <c r="G19" s="3" t="s">
        <v>20</v>
      </c>
      <c r="H19" s="3" t="str">
        <f>CONCATENATE(Table27[[#This Row],[TIPO_CDR]]," ",Table27[[#This Row],[TRANSACCION]])</f>
        <v>SMS ENTRANTE</v>
      </c>
      <c r="AC19" s="3" t="s">
        <v>122</v>
      </c>
    </row>
    <row r="20" spans="1:29" ht="14.1" customHeight="1" x14ac:dyDescent="0.25">
      <c r="A20" s="4">
        <v>811</v>
      </c>
      <c r="B20" s="4">
        <v>4245088512</v>
      </c>
      <c r="C20" s="9">
        <v>45673</v>
      </c>
      <c r="D20" s="12">
        <v>0.45954861111111112</v>
      </c>
      <c r="E20" s="4">
        <v>96</v>
      </c>
      <c r="F20" s="3" t="s">
        <v>121</v>
      </c>
      <c r="G20" s="3" t="s">
        <v>20</v>
      </c>
      <c r="H20" s="3" t="str">
        <f>CONCATENATE(Table27[[#This Row],[TIPO_CDR]]," ",Table27[[#This Row],[TRANSACCION]])</f>
        <v>SMS ENTRANTE</v>
      </c>
      <c r="AC20" s="3" t="s">
        <v>122</v>
      </c>
    </row>
    <row r="21" spans="1:29" ht="14.1" customHeight="1" x14ac:dyDescent="0.25">
      <c r="A21" s="4" t="s">
        <v>129</v>
      </c>
      <c r="B21" s="4">
        <v>4245088512</v>
      </c>
      <c r="C21" s="9">
        <v>45678</v>
      </c>
      <c r="D21" s="12">
        <v>0.5423958333333333</v>
      </c>
      <c r="E21" s="4">
        <v>89</v>
      </c>
      <c r="F21" s="3" t="s">
        <v>121</v>
      </c>
      <c r="G21" s="3" t="s">
        <v>20</v>
      </c>
      <c r="H21" s="3" t="str">
        <f>CONCATENATE(Table27[[#This Row],[TIPO_CDR]]," ",Table27[[#This Row],[TRANSACCION]])</f>
        <v>SMS ENTRANTE</v>
      </c>
      <c r="AC21" s="3" t="s">
        <v>122</v>
      </c>
    </row>
    <row r="22" spans="1:29" ht="14.1" customHeight="1" x14ac:dyDescent="0.25">
      <c r="A22" s="4">
        <v>811</v>
      </c>
      <c r="B22" s="4">
        <v>4245088512</v>
      </c>
      <c r="C22" s="9">
        <v>45683</v>
      </c>
      <c r="D22" s="12">
        <v>0.41769675925925925</v>
      </c>
      <c r="E22" s="4">
        <v>123</v>
      </c>
      <c r="F22" s="3" t="s">
        <v>121</v>
      </c>
      <c r="G22" s="3" t="s">
        <v>20</v>
      </c>
      <c r="H22" s="3" t="str">
        <f>CONCATENATE(Table27[[#This Row],[TIPO_CDR]]," ",Table27[[#This Row],[TRANSACCION]])</f>
        <v>SMS ENTRANTE</v>
      </c>
      <c r="AC22" s="3" t="s">
        <v>122</v>
      </c>
    </row>
    <row r="23" spans="1:29" ht="14.1" customHeight="1" x14ac:dyDescent="0.25">
      <c r="A23" s="4" t="s">
        <v>129</v>
      </c>
      <c r="B23" s="4">
        <v>4245088512</v>
      </c>
      <c r="C23" s="9">
        <v>45688</v>
      </c>
      <c r="D23" s="12">
        <v>0.33422453703703708</v>
      </c>
      <c r="E23" s="4">
        <v>124</v>
      </c>
      <c r="F23" s="3" t="s">
        <v>121</v>
      </c>
      <c r="G23" s="3" t="s">
        <v>20</v>
      </c>
      <c r="H23" s="3" t="str">
        <f>CONCATENATE(Table27[[#This Row],[TIPO_CDR]]," ",Table27[[#This Row],[TRANSACCION]])</f>
        <v>SMS ENTRANTE</v>
      </c>
      <c r="AC23" s="3" t="s">
        <v>122</v>
      </c>
    </row>
    <row r="24" spans="1:29" ht="14.1" customHeight="1" x14ac:dyDescent="0.25">
      <c r="A24" s="4">
        <v>4125141860</v>
      </c>
      <c r="B24" s="4">
        <v>4245088512</v>
      </c>
      <c r="C24" s="9">
        <v>45688</v>
      </c>
      <c r="D24" s="12">
        <v>0.45906249999999998</v>
      </c>
      <c r="E24" s="4">
        <v>153</v>
      </c>
      <c r="F24" s="3" t="s">
        <v>121</v>
      </c>
      <c r="G24" s="3" t="s">
        <v>20</v>
      </c>
      <c r="H24" s="3" t="str">
        <f>CONCATENATE(Table27[[#This Row],[TIPO_CDR]]," ",Table27[[#This Row],[TRANSACCION]])</f>
        <v>SMS ENTRANTE</v>
      </c>
      <c r="AC24" s="3" t="s">
        <v>29</v>
      </c>
    </row>
    <row r="25" spans="1:29" ht="14.1" customHeight="1" x14ac:dyDescent="0.25">
      <c r="A25" s="4">
        <v>4125141860</v>
      </c>
      <c r="B25" s="4">
        <v>4245088512</v>
      </c>
      <c r="C25" s="9">
        <v>45688</v>
      </c>
      <c r="D25" s="12">
        <v>0.45907407407407402</v>
      </c>
      <c r="E25" s="4">
        <v>110</v>
      </c>
      <c r="F25" s="3" t="s">
        <v>121</v>
      </c>
      <c r="G25" s="3" t="s">
        <v>20</v>
      </c>
      <c r="H25" s="3" t="str">
        <f>CONCATENATE(Table27[[#This Row],[TIPO_CDR]]," ",Table27[[#This Row],[TRANSACCION]])</f>
        <v>SMS ENTRANTE</v>
      </c>
      <c r="AC25" s="3" t="s">
        <v>29</v>
      </c>
    </row>
    <row r="26" spans="1:29" ht="14.1" customHeight="1" x14ac:dyDescent="0.25">
      <c r="A26" s="4">
        <v>811</v>
      </c>
      <c r="B26" s="4">
        <v>4245088512</v>
      </c>
      <c r="C26" s="9">
        <v>45693</v>
      </c>
      <c r="D26" s="12">
        <v>0.4183912037037037</v>
      </c>
      <c r="E26" s="4">
        <v>108</v>
      </c>
      <c r="F26" s="3" t="s">
        <v>121</v>
      </c>
      <c r="G26" s="3" t="s">
        <v>20</v>
      </c>
      <c r="H26" s="3" t="str">
        <f>CONCATENATE(Table27[[#This Row],[TIPO_CDR]]," ",Table27[[#This Row],[TRANSACCION]])</f>
        <v>SMS ENTRANTE</v>
      </c>
      <c r="AC26" s="3" t="s">
        <v>122</v>
      </c>
    </row>
    <row r="27" spans="1:29" ht="14.1" customHeight="1" x14ac:dyDescent="0.25">
      <c r="A27" s="4">
        <v>4262876159</v>
      </c>
      <c r="B27" s="4">
        <v>4245088512</v>
      </c>
      <c r="C27" s="9">
        <v>45696</v>
      </c>
      <c r="D27" s="12">
        <v>0.29315972222222225</v>
      </c>
      <c r="E27" s="4">
        <v>150</v>
      </c>
      <c r="F27" s="3" t="s">
        <v>121</v>
      </c>
      <c r="G27" s="3" t="s">
        <v>20</v>
      </c>
      <c r="H27" s="3" t="str">
        <f>CONCATENATE(Table27[[#This Row],[TIPO_CDR]]," ",Table27[[#This Row],[TRANSACCION]])</f>
        <v>SMS ENTRANTE</v>
      </c>
      <c r="AC27" s="3" t="s">
        <v>158</v>
      </c>
    </row>
    <row r="28" spans="1:29" ht="14.1" customHeight="1" x14ac:dyDescent="0.25">
      <c r="A28" s="4" t="s">
        <v>159</v>
      </c>
      <c r="B28" s="4">
        <v>4245088512</v>
      </c>
      <c r="C28" s="9">
        <v>45697</v>
      </c>
      <c r="D28" s="12">
        <v>0.37663194444444442</v>
      </c>
      <c r="E28" s="4">
        <v>116</v>
      </c>
      <c r="F28" s="3" t="s">
        <v>121</v>
      </c>
      <c r="G28" s="3" t="s">
        <v>20</v>
      </c>
      <c r="H28" s="3" t="str">
        <f>CONCATENATE(Table27[[#This Row],[TIPO_CDR]]," ",Table27[[#This Row],[TRANSACCION]])</f>
        <v>SMS ENTRANTE</v>
      </c>
      <c r="AC28" s="3" t="s">
        <v>122</v>
      </c>
    </row>
    <row r="29" spans="1:29" ht="14.1" customHeight="1" x14ac:dyDescent="0.25">
      <c r="A29" s="4" t="s">
        <v>129</v>
      </c>
      <c r="B29" s="4">
        <v>4245088512</v>
      </c>
      <c r="C29" s="9">
        <v>45700</v>
      </c>
      <c r="D29" s="12">
        <v>0.33519675925925929</v>
      </c>
      <c r="E29" s="4">
        <v>121</v>
      </c>
      <c r="F29" s="3" t="s">
        <v>121</v>
      </c>
      <c r="G29" s="3" t="s">
        <v>20</v>
      </c>
      <c r="H29" s="3" t="str">
        <f>CONCATENATE(Table27[[#This Row],[TIPO_CDR]]," ",Table27[[#This Row],[TRANSACCION]])</f>
        <v>SMS ENTRANTE</v>
      </c>
      <c r="AC29" s="3" t="s">
        <v>122</v>
      </c>
    </row>
    <row r="30" spans="1:29" ht="14.1" customHeight="1" x14ac:dyDescent="0.25">
      <c r="A30" s="4">
        <v>811</v>
      </c>
      <c r="B30" s="4">
        <v>4245088512</v>
      </c>
      <c r="C30" s="9">
        <v>45706</v>
      </c>
      <c r="D30" s="12">
        <v>0.46012731481481484</v>
      </c>
      <c r="E30" s="4">
        <v>101</v>
      </c>
      <c r="F30" s="3" t="s">
        <v>121</v>
      </c>
      <c r="G30" s="3" t="s">
        <v>20</v>
      </c>
      <c r="H30" s="3" t="str">
        <f>CONCATENATE(Table27[[#This Row],[TIPO_CDR]]," ",Table27[[#This Row],[TRANSACCION]])</f>
        <v>SMS ENTRANTE</v>
      </c>
      <c r="AC30" s="3" t="s">
        <v>122</v>
      </c>
    </row>
    <row r="31" spans="1:29" ht="14.1" customHeight="1" x14ac:dyDescent="0.25">
      <c r="A31" s="4">
        <v>811</v>
      </c>
      <c r="B31" s="4">
        <v>4245088512</v>
      </c>
      <c r="C31" s="9">
        <v>45713</v>
      </c>
      <c r="D31" s="12">
        <v>0.33539351851851856</v>
      </c>
      <c r="E31" s="4">
        <v>115</v>
      </c>
      <c r="F31" s="3" t="s">
        <v>121</v>
      </c>
      <c r="G31" s="3" t="s">
        <v>20</v>
      </c>
      <c r="H31" s="3" t="str">
        <f>CONCATENATE(Table27[[#This Row],[TIPO_CDR]]," ",Table27[[#This Row],[TRANSACCION]])</f>
        <v>SMS ENTRANTE</v>
      </c>
      <c r="AC31" s="3" t="s">
        <v>122</v>
      </c>
    </row>
    <row r="32" spans="1:29" ht="14.1" customHeight="1" x14ac:dyDescent="0.25">
      <c r="A32" s="4" t="s">
        <v>129</v>
      </c>
      <c r="B32" s="4">
        <v>4245088512</v>
      </c>
      <c r="C32" s="9">
        <v>45716</v>
      </c>
      <c r="D32" s="12">
        <v>0.37695601851851851</v>
      </c>
      <c r="E32" s="4">
        <v>102</v>
      </c>
      <c r="F32" s="3" t="s">
        <v>121</v>
      </c>
      <c r="G32" s="3" t="s">
        <v>20</v>
      </c>
      <c r="H32" s="3" t="str">
        <f>CONCATENATE(Table27[[#This Row],[TIPO_CDR]]," ",Table27[[#This Row],[TRANSACCION]])</f>
        <v>SMS ENTRANTE</v>
      </c>
      <c r="AC32" s="3" t="s">
        <v>122</v>
      </c>
    </row>
    <row r="33" spans="1:29" ht="14.1" customHeight="1" x14ac:dyDescent="0.25">
      <c r="A33" s="4" t="s">
        <v>129</v>
      </c>
      <c r="B33" s="4">
        <v>4245088512</v>
      </c>
      <c r="C33" s="9">
        <v>45716</v>
      </c>
      <c r="D33" s="12">
        <v>0.58474537037037033</v>
      </c>
      <c r="E33" s="4">
        <v>125</v>
      </c>
      <c r="F33" s="3" t="s">
        <v>121</v>
      </c>
      <c r="G33" s="3" t="s">
        <v>20</v>
      </c>
      <c r="H33" s="3" t="str">
        <f>CONCATENATE(Table27[[#This Row],[TIPO_CDR]]," ",Table27[[#This Row],[TRANSACCION]])</f>
        <v>SMS ENTRANTE</v>
      </c>
      <c r="AC33" s="3" t="s">
        <v>122</v>
      </c>
    </row>
    <row r="34" spans="1:29" ht="14.1" customHeight="1" x14ac:dyDescent="0.25">
      <c r="A34" s="4">
        <v>811</v>
      </c>
      <c r="B34" s="4">
        <v>4245088512</v>
      </c>
      <c r="C34" s="9">
        <v>45727</v>
      </c>
      <c r="D34" s="12">
        <v>0.33608796296296295</v>
      </c>
      <c r="E34" s="4">
        <v>127</v>
      </c>
      <c r="F34" s="3" t="s">
        <v>121</v>
      </c>
      <c r="G34" s="3" t="s">
        <v>20</v>
      </c>
      <c r="H34" s="3" t="str">
        <f>CONCATENATE(Table27[[#This Row],[TIPO_CDR]]," ",Table27[[#This Row],[TRANSACCION]])</f>
        <v>SMS ENTRANTE</v>
      </c>
      <c r="AC34" s="3" t="s">
        <v>122</v>
      </c>
    </row>
    <row r="35" spans="1:29" ht="14.1" customHeight="1" x14ac:dyDescent="0.25">
      <c r="A35" s="4">
        <v>811</v>
      </c>
      <c r="B35" s="4">
        <v>4245088512</v>
      </c>
      <c r="C35" s="9">
        <v>45728</v>
      </c>
      <c r="D35" s="12">
        <v>0.41884259259259254</v>
      </c>
      <c r="E35" s="4">
        <v>69</v>
      </c>
      <c r="F35" s="3" t="s">
        <v>121</v>
      </c>
      <c r="G35" s="3" t="s">
        <v>20</v>
      </c>
      <c r="H35" s="3" t="str">
        <f>CONCATENATE(Table27[[#This Row],[TIPO_CDR]]," ",Table27[[#This Row],[TRANSACCION]])</f>
        <v>SMS ENTRANTE</v>
      </c>
      <c r="AC35" s="3" t="s">
        <v>122</v>
      </c>
    </row>
    <row r="36" spans="1:29" ht="14.1" customHeight="1" x14ac:dyDescent="0.25">
      <c r="A36" s="4" t="s">
        <v>129</v>
      </c>
      <c r="B36" s="4">
        <v>4245088512</v>
      </c>
      <c r="C36" s="9">
        <v>45728</v>
      </c>
      <c r="D36" s="12">
        <v>0.46104166666666663</v>
      </c>
      <c r="E36" s="4">
        <v>105</v>
      </c>
      <c r="F36" s="3" t="s">
        <v>121</v>
      </c>
      <c r="G36" s="3" t="s">
        <v>20</v>
      </c>
      <c r="H36" s="3" t="str">
        <f>CONCATENATE(Table27[[#This Row],[TIPO_CDR]]," ",Table27[[#This Row],[TRANSACCION]])</f>
        <v>SMS ENTRANTE</v>
      </c>
      <c r="AC36" s="3" t="s">
        <v>122</v>
      </c>
    </row>
    <row r="37" spans="1:29" ht="14.1" customHeight="1" x14ac:dyDescent="0.25">
      <c r="A37" s="4">
        <v>44646</v>
      </c>
      <c r="B37" s="4">
        <v>4245088512</v>
      </c>
      <c r="C37" s="9">
        <v>45732</v>
      </c>
      <c r="D37" s="12">
        <v>0.50250000000000006</v>
      </c>
      <c r="E37" s="4">
        <v>59</v>
      </c>
      <c r="F37" s="3" t="s">
        <v>121</v>
      </c>
      <c r="G37" s="3" t="s">
        <v>20</v>
      </c>
      <c r="H37" s="3" t="str">
        <f>CONCATENATE(Table27[[#This Row],[TIPO_CDR]]," ",Table27[[#This Row],[TRANSACCION]])</f>
        <v>SMS ENTRANTE</v>
      </c>
      <c r="AC37" s="3" t="s">
        <v>127</v>
      </c>
    </row>
    <row r="38" spans="1:29" ht="14.1" customHeight="1" x14ac:dyDescent="0.25">
      <c r="A38" s="4">
        <v>44646</v>
      </c>
      <c r="B38" s="4">
        <v>4245088512</v>
      </c>
      <c r="C38" s="9">
        <v>45732</v>
      </c>
      <c r="D38" s="12">
        <v>0.50237268518518519</v>
      </c>
      <c r="E38" s="4">
        <v>81</v>
      </c>
      <c r="F38" s="3" t="s">
        <v>121</v>
      </c>
      <c r="G38" s="3" t="s">
        <v>20</v>
      </c>
      <c r="H38" s="3" t="str">
        <f>CONCATENATE(Table27[[#This Row],[TIPO_CDR]]," ",Table27[[#This Row],[TRANSACCION]])</f>
        <v>SMS ENTRANTE</v>
      </c>
      <c r="AC38" s="3" t="s">
        <v>127</v>
      </c>
    </row>
    <row r="39" spans="1:29" ht="14.1" customHeight="1" x14ac:dyDescent="0.25">
      <c r="A39" s="4" t="s">
        <v>129</v>
      </c>
      <c r="B39" s="4">
        <v>4245088512</v>
      </c>
      <c r="C39" s="9">
        <v>45744</v>
      </c>
      <c r="D39" s="12">
        <v>0.37763888888888886</v>
      </c>
      <c r="E39" s="4">
        <v>121</v>
      </c>
      <c r="F39" s="3" t="s">
        <v>121</v>
      </c>
      <c r="G39" s="3" t="s">
        <v>20</v>
      </c>
      <c r="H39" s="3" t="str">
        <f>CONCATENATE(Table27[[#This Row],[TIPO_CDR]]," ",Table27[[#This Row],[TRANSACCION]])</f>
        <v>SMS ENTRANTE</v>
      </c>
      <c r="AC39" s="3" t="s">
        <v>122</v>
      </c>
    </row>
    <row r="40" spans="1:29" ht="14.1" customHeight="1" x14ac:dyDescent="0.25">
      <c r="A40" s="4">
        <v>811</v>
      </c>
      <c r="B40" s="4">
        <v>4245088512</v>
      </c>
      <c r="C40" s="9">
        <v>45746</v>
      </c>
      <c r="D40" s="12">
        <v>0.50256944444444451</v>
      </c>
      <c r="E40" s="4">
        <v>69</v>
      </c>
      <c r="F40" s="3" t="s">
        <v>121</v>
      </c>
      <c r="G40" s="3" t="s">
        <v>20</v>
      </c>
      <c r="H40" s="3" t="str">
        <f>CONCATENATE(Table27[[#This Row],[TIPO_CDR]]," ",Table27[[#This Row],[TRANSACCION]])</f>
        <v>SMS ENTRANTE</v>
      </c>
      <c r="AC40" s="3" t="s">
        <v>122</v>
      </c>
    </row>
    <row r="41" spans="1:29" ht="14.1" customHeight="1" x14ac:dyDescent="0.25">
      <c r="A41" s="4" t="s">
        <v>129</v>
      </c>
      <c r="B41" s="4">
        <v>4245088512</v>
      </c>
      <c r="C41" s="9">
        <v>45747</v>
      </c>
      <c r="D41" s="12">
        <v>0.41898148148148145</v>
      </c>
      <c r="E41" s="4">
        <v>123</v>
      </c>
      <c r="F41" s="3" t="s">
        <v>121</v>
      </c>
      <c r="G41" s="3" t="s">
        <v>20</v>
      </c>
      <c r="H41" s="3" t="str">
        <f>CONCATENATE(Table27[[#This Row],[TIPO_CDR]]," ",Table27[[#This Row],[TRANSACCION]])</f>
        <v>SMS ENTRANTE</v>
      </c>
      <c r="AC41" s="3" t="s">
        <v>122</v>
      </c>
    </row>
    <row r="42" spans="1:29" ht="14.1" customHeight="1" x14ac:dyDescent="0.25">
      <c r="A42" s="4">
        <v>4262876159</v>
      </c>
      <c r="B42" s="4">
        <v>4245088512</v>
      </c>
      <c r="C42" s="9">
        <v>45752</v>
      </c>
      <c r="D42" s="12">
        <v>0.50296296296296295</v>
      </c>
      <c r="E42" s="4">
        <v>153</v>
      </c>
      <c r="F42" s="3" t="s">
        <v>121</v>
      </c>
      <c r="G42" s="3" t="s">
        <v>20</v>
      </c>
      <c r="H42" s="3" t="str">
        <f>CONCATENATE(Table27[[#This Row],[TIPO_CDR]]," ",Table27[[#This Row],[TRANSACCION]])</f>
        <v>SMS ENTRANTE</v>
      </c>
      <c r="AC42" s="3" t="s">
        <v>158</v>
      </c>
    </row>
    <row r="43" spans="1:29" ht="14.1" customHeight="1" x14ac:dyDescent="0.25">
      <c r="A43" s="4">
        <v>4262876159</v>
      </c>
      <c r="B43" s="4">
        <v>4245088512</v>
      </c>
      <c r="C43" s="9">
        <v>45752</v>
      </c>
      <c r="D43" s="12">
        <v>0.50299768518518517</v>
      </c>
      <c r="E43" s="4">
        <v>143</v>
      </c>
      <c r="F43" s="3" t="s">
        <v>121</v>
      </c>
      <c r="G43" s="3" t="s">
        <v>20</v>
      </c>
      <c r="H43" s="3" t="str">
        <f>CONCATENATE(Table27[[#This Row],[TIPO_CDR]]," ",Table27[[#This Row],[TRANSACCION]])</f>
        <v>SMS ENTRANTE</v>
      </c>
      <c r="AC43" s="3" t="s">
        <v>158</v>
      </c>
    </row>
    <row r="44" spans="1:29" ht="14.1" customHeight="1" x14ac:dyDescent="0.25">
      <c r="A44" s="4">
        <v>811</v>
      </c>
      <c r="B44" s="4">
        <v>4245088512</v>
      </c>
      <c r="C44" s="9">
        <v>45753</v>
      </c>
      <c r="D44" s="12">
        <v>0.50296296296296295</v>
      </c>
      <c r="E44" s="4">
        <v>69</v>
      </c>
      <c r="F44" s="3" t="s">
        <v>121</v>
      </c>
      <c r="G44" s="3" t="s">
        <v>20</v>
      </c>
      <c r="H44" s="3" t="str">
        <f>CONCATENATE(Table27[[#This Row],[TIPO_CDR]]," ",Table27[[#This Row],[TRANSACCION]])</f>
        <v>SMS ENTRANTE</v>
      </c>
      <c r="AC44" s="3" t="s">
        <v>122</v>
      </c>
    </row>
    <row r="45" spans="1:29" ht="14.1" customHeight="1" x14ac:dyDescent="0.25">
      <c r="A45" s="4">
        <v>811</v>
      </c>
      <c r="B45" s="4">
        <v>4245088512</v>
      </c>
      <c r="C45" s="9">
        <v>45758</v>
      </c>
      <c r="D45" s="12">
        <v>0.33671296296296299</v>
      </c>
      <c r="E45" s="4">
        <v>127</v>
      </c>
      <c r="F45" s="3" t="s">
        <v>121</v>
      </c>
      <c r="G45" s="3" t="s">
        <v>20</v>
      </c>
      <c r="H45" s="3" t="str">
        <f>CONCATENATE(Table27[[#This Row],[TIPO_CDR]]," ",Table27[[#This Row],[TRANSACCION]])</f>
        <v>SMS ENTRANTE</v>
      </c>
      <c r="AC45" s="3" t="s">
        <v>122</v>
      </c>
    </row>
    <row r="46" spans="1:29" ht="14.1" customHeight="1" x14ac:dyDescent="0.25">
      <c r="A46" s="4" t="s">
        <v>129</v>
      </c>
      <c r="B46" s="4">
        <v>4245088512</v>
      </c>
      <c r="C46" s="9">
        <v>45761</v>
      </c>
      <c r="D46" s="12">
        <v>0.46151620370370372</v>
      </c>
      <c r="E46" s="4">
        <v>128</v>
      </c>
      <c r="F46" s="3" t="s">
        <v>121</v>
      </c>
      <c r="G46" s="3" t="s">
        <v>20</v>
      </c>
      <c r="H46" s="3" t="str">
        <f>CONCATENATE(Table27[[#This Row],[TIPO_CDR]]," ",Table27[[#This Row],[TRANSACCION]])</f>
        <v>SMS ENTRANTE</v>
      </c>
      <c r="AC46" s="3" t="s">
        <v>122</v>
      </c>
    </row>
    <row r="47" spans="1:29" ht="14.1" customHeight="1" x14ac:dyDescent="0.25">
      <c r="A47" s="4">
        <v>811</v>
      </c>
      <c r="B47" s="4">
        <v>4245088512</v>
      </c>
      <c r="C47" s="9">
        <v>45763</v>
      </c>
      <c r="D47" s="12">
        <v>0.41996527777777781</v>
      </c>
      <c r="E47" s="4">
        <v>97</v>
      </c>
      <c r="F47" s="3" t="s">
        <v>121</v>
      </c>
      <c r="G47" s="3" t="s">
        <v>20</v>
      </c>
      <c r="H47" s="3" t="str">
        <f>CONCATENATE(Table27[[#This Row],[TIPO_CDR]]," ",Table27[[#This Row],[TRANSACCION]])</f>
        <v>SMS ENTRANTE</v>
      </c>
      <c r="AC47" s="3" t="s">
        <v>122</v>
      </c>
    </row>
    <row r="48" spans="1:29" ht="14.1" customHeight="1" x14ac:dyDescent="0.25">
      <c r="A48" s="4" t="s">
        <v>129</v>
      </c>
      <c r="B48" s="4">
        <v>4245088512</v>
      </c>
      <c r="C48" s="9">
        <v>45777</v>
      </c>
      <c r="D48" s="12">
        <v>0.33628472222222222</v>
      </c>
      <c r="E48" s="4">
        <v>124</v>
      </c>
      <c r="F48" s="3" t="s">
        <v>121</v>
      </c>
      <c r="G48" s="3" t="s">
        <v>20</v>
      </c>
      <c r="H48" s="3" t="str">
        <f>CONCATENATE(Table27[[#This Row],[TIPO_CDR]]," ",Table27[[#This Row],[TRANSACCION]])</f>
        <v>SMS ENTRANTE</v>
      </c>
      <c r="AC48" s="3" t="s">
        <v>122</v>
      </c>
    </row>
    <row r="49" spans="1:29" ht="14.1" customHeight="1" x14ac:dyDescent="0.25">
      <c r="A49" s="4">
        <v>4125141860</v>
      </c>
      <c r="B49" s="4">
        <v>4245088512</v>
      </c>
      <c r="C49" s="9">
        <v>45778</v>
      </c>
      <c r="D49" s="12">
        <v>0.37861111111111106</v>
      </c>
      <c r="E49" s="4">
        <v>153</v>
      </c>
      <c r="F49" s="3" t="s">
        <v>121</v>
      </c>
      <c r="G49" s="3" t="s">
        <v>20</v>
      </c>
      <c r="H49" s="3" t="str">
        <f>CONCATENATE(Table27[[#This Row],[TIPO_CDR]]," ",Table27[[#This Row],[TRANSACCION]])</f>
        <v>SMS ENTRANTE</v>
      </c>
      <c r="AC49" s="3" t="s">
        <v>29</v>
      </c>
    </row>
    <row r="50" spans="1:29" ht="14.1" customHeight="1" x14ac:dyDescent="0.25">
      <c r="A50" s="4">
        <v>4125141860</v>
      </c>
      <c r="B50" s="4">
        <v>4245088512</v>
      </c>
      <c r="C50" s="9">
        <v>45778</v>
      </c>
      <c r="D50" s="12">
        <v>0.37863425925925925</v>
      </c>
      <c r="E50" s="4">
        <v>143</v>
      </c>
      <c r="F50" s="3" t="s">
        <v>121</v>
      </c>
      <c r="G50" s="3" t="s">
        <v>20</v>
      </c>
      <c r="H50" s="3" t="str">
        <f>CONCATENATE(Table27[[#This Row],[TIPO_CDR]]," ",Table27[[#This Row],[TRANSACCION]])</f>
        <v>SMS ENTRANTE</v>
      </c>
      <c r="AC50" s="3" t="s">
        <v>29</v>
      </c>
    </row>
    <row r="51" spans="1:29" ht="14.1" customHeight="1" x14ac:dyDescent="0.25">
      <c r="A51" s="4">
        <v>4123503806</v>
      </c>
      <c r="B51" s="4">
        <v>4245088512</v>
      </c>
      <c r="C51" s="9">
        <v>45780</v>
      </c>
      <c r="D51" s="12">
        <v>0.6287152777777778</v>
      </c>
      <c r="E51" s="4">
        <v>153</v>
      </c>
      <c r="F51" s="3" t="s">
        <v>121</v>
      </c>
      <c r="G51" s="3" t="s">
        <v>20</v>
      </c>
      <c r="H51" s="3" t="str">
        <f>CONCATENATE(Table27[[#This Row],[TIPO_CDR]]," ",Table27[[#This Row],[TRANSACCION]])</f>
        <v>SMS ENTRANTE</v>
      </c>
      <c r="AC51" s="3" t="s">
        <v>29</v>
      </c>
    </row>
    <row r="52" spans="1:29" ht="14.1" customHeight="1" x14ac:dyDescent="0.25">
      <c r="A52" s="4">
        <v>4123503806</v>
      </c>
      <c r="B52" s="4">
        <v>4245088512</v>
      </c>
      <c r="C52" s="9">
        <v>45780</v>
      </c>
      <c r="D52" s="12">
        <v>0.62873842592592599</v>
      </c>
      <c r="E52" s="4">
        <v>61</v>
      </c>
      <c r="F52" s="3" t="s">
        <v>121</v>
      </c>
      <c r="G52" s="3" t="s">
        <v>20</v>
      </c>
      <c r="H52" s="3" t="str">
        <f>CONCATENATE(Table27[[#This Row],[TIPO_CDR]]," ",Table27[[#This Row],[TRANSACCION]])</f>
        <v>SMS ENTRANTE</v>
      </c>
      <c r="AC52" s="3" t="s">
        <v>29</v>
      </c>
    </row>
    <row r="53" spans="1:29" ht="14.1" customHeight="1" x14ac:dyDescent="0.25">
      <c r="A53" s="4">
        <v>2467</v>
      </c>
      <c r="B53" s="4">
        <v>4245088512</v>
      </c>
      <c r="C53" s="9">
        <v>45805</v>
      </c>
      <c r="D53" s="12">
        <v>0.50402777777777774</v>
      </c>
      <c r="E53" s="4">
        <v>154</v>
      </c>
      <c r="F53" s="3" t="s">
        <v>121</v>
      </c>
      <c r="G53" s="3" t="s">
        <v>20</v>
      </c>
      <c r="H53" s="3" t="str">
        <f>CONCATENATE(Table27[[#This Row],[TIPO_CDR]]," ",Table27[[#This Row],[TRANSACCION]])</f>
        <v>SMS ENTRANTE</v>
      </c>
      <c r="AC53" s="3" t="s">
        <v>220</v>
      </c>
    </row>
    <row r="54" spans="1:29" ht="14.1" customHeight="1" x14ac:dyDescent="0.25">
      <c r="A54" s="4" t="s">
        <v>129</v>
      </c>
      <c r="B54" s="4">
        <v>4245088512</v>
      </c>
      <c r="C54" s="9">
        <v>45805</v>
      </c>
      <c r="D54" s="12">
        <v>0.58717592592592593</v>
      </c>
      <c r="E54" s="4">
        <v>120</v>
      </c>
      <c r="F54" s="3" t="s">
        <v>121</v>
      </c>
      <c r="G54" s="3" t="s">
        <v>20</v>
      </c>
      <c r="H54" s="3" t="str">
        <f>CONCATENATE(Table27[[#This Row],[TIPO_CDR]]," ",Table27[[#This Row],[TRANSACCION]])</f>
        <v>SMS ENTRANTE</v>
      </c>
      <c r="AC54" s="3" t="s">
        <v>122</v>
      </c>
    </row>
    <row r="55" spans="1:29" ht="14.1" customHeight="1" x14ac:dyDescent="0.25">
      <c r="A55" s="4">
        <v>4122200255</v>
      </c>
      <c r="B55" s="4">
        <v>4245088512</v>
      </c>
      <c r="C55" s="9">
        <v>45812</v>
      </c>
      <c r="D55" s="12">
        <v>0.37921296296296297</v>
      </c>
      <c r="E55" s="4">
        <v>148</v>
      </c>
      <c r="F55" s="3" t="s">
        <v>121</v>
      </c>
      <c r="G55" s="3" t="s">
        <v>20</v>
      </c>
      <c r="H55" s="3" t="str">
        <f>CONCATENATE(Table27[[#This Row],[TIPO_CDR]]," ",Table27[[#This Row],[TRANSACCION]])</f>
        <v>SMS ENTRANTE</v>
      </c>
      <c r="AC55" s="3" t="s">
        <v>29</v>
      </c>
    </row>
    <row r="56" spans="1:29" ht="14.1" customHeight="1" x14ac:dyDescent="0.25">
      <c r="A56" s="4" t="s">
        <v>129</v>
      </c>
      <c r="B56" s="4">
        <v>4245088512</v>
      </c>
      <c r="C56" s="9">
        <v>45814</v>
      </c>
      <c r="D56" s="12">
        <v>0.4626736111111111</v>
      </c>
      <c r="E56" s="4">
        <v>124</v>
      </c>
      <c r="F56" s="3" t="s">
        <v>121</v>
      </c>
      <c r="G56" s="3" t="s">
        <v>20</v>
      </c>
      <c r="H56" s="3" t="str">
        <f>CONCATENATE(Table27[[#This Row],[TIPO_CDR]]," ",Table27[[#This Row],[TRANSACCION]])</f>
        <v>SMS ENTRANTE</v>
      </c>
      <c r="AC56" s="3" t="s">
        <v>122</v>
      </c>
    </row>
    <row r="57" spans="1:29" ht="14.1" customHeight="1" x14ac:dyDescent="0.25">
      <c r="A57" s="4">
        <v>4265730506</v>
      </c>
      <c r="B57" s="4">
        <v>4245088512</v>
      </c>
      <c r="C57" s="9">
        <v>45931</v>
      </c>
      <c r="D57" s="12">
        <v>0.46546296296296297</v>
      </c>
      <c r="E57" s="4">
        <v>153</v>
      </c>
      <c r="F57" s="3" t="s">
        <v>121</v>
      </c>
      <c r="G57" s="3" t="s">
        <v>20</v>
      </c>
      <c r="H57" s="3" t="str">
        <f>CONCATENATE(Table27[[#This Row],[TIPO_CDR]]," ",Table27[[#This Row],[TRANSACCION]])</f>
        <v>SMS ENTRANTE</v>
      </c>
      <c r="AC57" s="3" t="s">
        <v>158</v>
      </c>
    </row>
    <row r="58" spans="1:29" ht="14.1" customHeight="1" x14ac:dyDescent="0.25">
      <c r="A58" s="4">
        <v>4265730506</v>
      </c>
      <c r="B58" s="4">
        <v>4245088512</v>
      </c>
      <c r="C58" s="9">
        <v>45931</v>
      </c>
      <c r="D58" s="12">
        <v>0.4654861111111111</v>
      </c>
      <c r="E58" s="4">
        <v>119</v>
      </c>
      <c r="F58" s="3" t="s">
        <v>121</v>
      </c>
      <c r="G58" s="3" t="s">
        <v>20</v>
      </c>
      <c r="H58" s="3" t="str">
        <f>CONCATENATE(Table27[[#This Row],[TIPO_CDR]]," ",Table27[[#This Row],[TRANSACCION]])</f>
        <v>SMS ENTRANTE</v>
      </c>
      <c r="AC58" s="3" t="s">
        <v>158</v>
      </c>
    </row>
    <row r="59" spans="1:29" ht="14.1" customHeight="1" x14ac:dyDescent="0.25">
      <c r="A59" s="4">
        <v>2467</v>
      </c>
      <c r="B59" s="4">
        <v>4245088512</v>
      </c>
      <c r="C59" s="9">
        <v>45959</v>
      </c>
      <c r="D59" s="12">
        <v>0.42418981481481483</v>
      </c>
      <c r="E59" s="4">
        <v>133</v>
      </c>
      <c r="F59" s="3" t="s">
        <v>121</v>
      </c>
      <c r="G59" s="3" t="s">
        <v>20</v>
      </c>
      <c r="H59" s="3" t="str">
        <f>CONCATENATE(Table27[[#This Row],[TIPO_CDR]]," ",Table27[[#This Row],[TRANSACCION]])</f>
        <v>SMS ENTRANTE</v>
      </c>
      <c r="AC59" s="3" t="s">
        <v>220</v>
      </c>
    </row>
    <row r="60" spans="1:29" ht="14.1" customHeight="1" x14ac:dyDescent="0.25">
      <c r="A60" s="4">
        <v>4125141860</v>
      </c>
      <c r="B60" s="4">
        <v>4245088512</v>
      </c>
      <c r="C60" s="9">
        <v>45992</v>
      </c>
      <c r="D60" s="12">
        <v>0.50885416666666672</v>
      </c>
      <c r="E60" s="4">
        <v>153</v>
      </c>
      <c r="F60" s="3" t="s">
        <v>121</v>
      </c>
      <c r="G60" s="3" t="s">
        <v>20</v>
      </c>
      <c r="H60" s="3" t="str">
        <f>CONCATENATE(Table27[[#This Row],[TIPO_CDR]]," ",Table27[[#This Row],[TRANSACCION]])</f>
        <v>SMS ENTRANTE</v>
      </c>
      <c r="AC60" s="3" t="s">
        <v>29</v>
      </c>
    </row>
    <row r="61" spans="1:29" ht="14.1" customHeight="1" x14ac:dyDescent="0.25">
      <c r="A61" s="4">
        <v>4125141860</v>
      </c>
      <c r="B61" s="4">
        <v>4245088512</v>
      </c>
      <c r="C61" s="9">
        <v>45992</v>
      </c>
      <c r="D61" s="12">
        <v>0.5088773148148148</v>
      </c>
      <c r="E61" s="4">
        <v>96</v>
      </c>
      <c r="F61" s="3" t="s">
        <v>121</v>
      </c>
      <c r="G61" s="3" t="s">
        <v>20</v>
      </c>
      <c r="H61" s="3" t="str">
        <f>CONCATENATE(Table27[[#This Row],[TIPO_CDR]]," ",Table27[[#This Row],[TRANSACCION]])</f>
        <v>SMS ENTRANTE</v>
      </c>
      <c r="AC61" s="3" t="s">
        <v>29</v>
      </c>
    </row>
    <row r="62" spans="1:29" ht="14.1" customHeight="1" x14ac:dyDescent="0.25">
      <c r="A62" s="4">
        <v>4122200255</v>
      </c>
      <c r="B62" s="4">
        <v>4245088512</v>
      </c>
      <c r="C62" s="9">
        <v>45994</v>
      </c>
      <c r="D62" s="12">
        <v>0.46681712962962968</v>
      </c>
      <c r="E62" s="4">
        <v>153</v>
      </c>
      <c r="F62" s="3" t="s">
        <v>121</v>
      </c>
      <c r="G62" s="3" t="s">
        <v>20</v>
      </c>
      <c r="H62" s="3" t="str">
        <f>CONCATENATE(Table27[[#This Row],[TIPO_CDR]]," ",Table27[[#This Row],[TRANSACCION]])</f>
        <v>SMS ENTRANTE</v>
      </c>
      <c r="AC62" s="3" t="s">
        <v>29</v>
      </c>
    </row>
    <row r="63" spans="1:29" ht="14.1" customHeight="1" x14ac:dyDescent="0.25">
      <c r="A63" s="4">
        <v>4122200255</v>
      </c>
      <c r="B63" s="4">
        <v>4245088512</v>
      </c>
      <c r="C63" s="9">
        <v>45994</v>
      </c>
      <c r="D63" s="12">
        <v>0.46684027777777781</v>
      </c>
      <c r="E63" s="4">
        <v>145</v>
      </c>
      <c r="F63" s="3" t="s">
        <v>121</v>
      </c>
      <c r="G63" s="3" t="s">
        <v>20</v>
      </c>
      <c r="H63" s="3" t="str">
        <f>CONCATENATE(Table27[[#This Row],[TIPO_CDR]]," ",Table27[[#This Row],[TRANSACCION]])</f>
        <v>SMS ENTRANTE</v>
      </c>
      <c r="AC63" s="3" t="s">
        <v>29</v>
      </c>
    </row>
    <row r="64" spans="1:29" ht="14.1" customHeight="1" x14ac:dyDescent="0.25">
      <c r="A64" s="4">
        <v>4122200255</v>
      </c>
      <c r="B64" s="4">
        <v>4245088512</v>
      </c>
      <c r="C64" s="9">
        <v>46000</v>
      </c>
      <c r="D64" s="12">
        <v>0.4253703703703704</v>
      </c>
      <c r="E64" s="4">
        <v>153</v>
      </c>
      <c r="F64" s="3" t="s">
        <v>121</v>
      </c>
      <c r="G64" s="3" t="s">
        <v>20</v>
      </c>
      <c r="H64" s="3" t="str">
        <f>CONCATENATE(Table27[[#This Row],[TIPO_CDR]]," ",Table27[[#This Row],[TRANSACCION]])</f>
        <v>SMS ENTRANTE</v>
      </c>
      <c r="AC64" s="3" t="s">
        <v>29</v>
      </c>
    </row>
    <row r="65" spans="1:29" ht="14.1" customHeight="1" x14ac:dyDescent="0.25">
      <c r="A65" s="4">
        <v>4122200255</v>
      </c>
      <c r="B65" s="4">
        <v>4245088512</v>
      </c>
      <c r="C65" s="9">
        <v>46000</v>
      </c>
      <c r="D65" s="12">
        <v>0.42539351851851853</v>
      </c>
      <c r="E65" s="4">
        <v>145</v>
      </c>
      <c r="F65" s="3" t="s">
        <v>121</v>
      </c>
      <c r="G65" s="3" t="s">
        <v>20</v>
      </c>
      <c r="H65" s="3" t="str">
        <f>CONCATENATE(Table27[[#This Row],[TIPO_CDR]]," ",Table27[[#This Row],[TRANSACCION]])</f>
        <v>SMS ENTRANTE</v>
      </c>
      <c r="AC65" s="3" t="s">
        <v>29</v>
      </c>
    </row>
    <row r="66" spans="1:29" ht="14.1" customHeight="1" x14ac:dyDescent="0.25">
      <c r="A66" s="4">
        <v>4125141860</v>
      </c>
      <c r="B66" s="4">
        <v>4245088512</v>
      </c>
      <c r="C66" s="9">
        <v>46027</v>
      </c>
      <c r="D66" s="12">
        <v>0.41740740740740739</v>
      </c>
      <c r="E66" s="4">
        <v>153</v>
      </c>
      <c r="F66" s="3" t="s">
        <v>121</v>
      </c>
      <c r="G66" s="3" t="s">
        <v>20</v>
      </c>
      <c r="H66" s="3" t="str">
        <f>CONCATENATE(Table27[[#This Row],[TIPO_CDR]]," ",Table27[[#This Row],[TRANSACCION]])</f>
        <v>SMS ENTRANTE</v>
      </c>
      <c r="AC66" s="3" t="s">
        <v>29</v>
      </c>
    </row>
    <row r="67" spans="1:29" ht="14.1" customHeight="1" x14ac:dyDescent="0.25">
      <c r="A67" s="4">
        <v>4125141860</v>
      </c>
      <c r="B67" s="4">
        <v>4245088512</v>
      </c>
      <c r="C67" s="9">
        <v>46027</v>
      </c>
      <c r="D67" s="12">
        <v>0.41743055555555553</v>
      </c>
      <c r="E67" s="4">
        <v>127</v>
      </c>
      <c r="F67" s="3" t="s">
        <v>121</v>
      </c>
      <c r="G67" s="3" t="s">
        <v>20</v>
      </c>
      <c r="H67" s="3" t="str">
        <f>CONCATENATE(Table27[[#This Row],[TIPO_CDR]]," ",Table27[[#This Row],[TRANSACCION]])</f>
        <v>SMS ENTRANTE</v>
      </c>
      <c r="AC67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8.42578125" bestFit="1" customWidth="1"/>
    <col min="4" max="4" width="14.5703125" bestFit="1" customWidth="1"/>
    <col min="5" max="5" width="12.5703125" bestFit="1" customWidth="1"/>
  </cols>
  <sheetData>
    <row r="3" spans="1:5" x14ac:dyDescent="0.25">
      <c r="A3" s="6" t="s">
        <v>260</v>
      </c>
      <c r="B3" s="6" t="s">
        <v>254</v>
      </c>
    </row>
    <row r="4" spans="1:5" x14ac:dyDescent="0.25">
      <c r="A4" s="6" t="s">
        <v>252</v>
      </c>
      <c r="B4" t="s">
        <v>257</v>
      </c>
      <c r="C4" t="s">
        <v>258</v>
      </c>
      <c r="D4" t="s">
        <v>259</v>
      </c>
      <c r="E4" t="s">
        <v>253</v>
      </c>
    </row>
    <row r="5" spans="1:5" x14ac:dyDescent="0.25">
      <c r="A5" s="7">
        <v>811</v>
      </c>
      <c r="B5" s="8"/>
      <c r="C5" s="8"/>
      <c r="D5" s="8">
        <v>12</v>
      </c>
      <c r="E5" s="8">
        <v>12</v>
      </c>
    </row>
    <row r="6" spans="1:5" x14ac:dyDescent="0.25">
      <c r="A6" s="7">
        <v>2467</v>
      </c>
      <c r="B6" s="8"/>
      <c r="C6" s="8"/>
      <c r="D6" s="8">
        <v>2</v>
      </c>
      <c r="E6" s="8">
        <v>2</v>
      </c>
    </row>
    <row r="7" spans="1:5" x14ac:dyDescent="0.25">
      <c r="A7" s="7">
        <v>44646</v>
      </c>
      <c r="B7" s="8"/>
      <c r="C7" s="8"/>
      <c r="D7" s="8">
        <v>4</v>
      </c>
      <c r="E7" s="8">
        <v>4</v>
      </c>
    </row>
    <row r="8" spans="1:5" x14ac:dyDescent="0.25">
      <c r="A8" s="7">
        <v>2128027511</v>
      </c>
      <c r="B8" s="8">
        <v>1</v>
      </c>
      <c r="C8" s="8"/>
      <c r="D8" s="8"/>
      <c r="E8" s="8">
        <v>1</v>
      </c>
    </row>
    <row r="9" spans="1:5" x14ac:dyDescent="0.25">
      <c r="A9" s="7">
        <v>4122200255</v>
      </c>
      <c r="B9" s="8"/>
      <c r="C9" s="8"/>
      <c r="D9" s="8">
        <v>5</v>
      </c>
      <c r="E9" s="8">
        <v>5</v>
      </c>
    </row>
    <row r="10" spans="1:5" x14ac:dyDescent="0.25">
      <c r="A10" s="7">
        <v>4123503806</v>
      </c>
      <c r="B10" s="8"/>
      <c r="C10" s="8"/>
      <c r="D10" s="8">
        <v>2</v>
      </c>
      <c r="E10" s="8">
        <v>2</v>
      </c>
    </row>
    <row r="11" spans="1:5" x14ac:dyDescent="0.25">
      <c r="A11" s="7">
        <v>4125141860</v>
      </c>
      <c r="B11" s="8"/>
      <c r="C11" s="8"/>
      <c r="D11" s="8">
        <v>8</v>
      </c>
      <c r="E11" s="8">
        <v>8</v>
      </c>
    </row>
    <row r="12" spans="1:5" x14ac:dyDescent="0.25">
      <c r="A12" s="7">
        <v>4128990551</v>
      </c>
      <c r="B12" s="8">
        <v>1</v>
      </c>
      <c r="C12" s="8"/>
      <c r="D12" s="8"/>
      <c r="E12" s="8">
        <v>1</v>
      </c>
    </row>
    <row r="13" spans="1:5" x14ac:dyDescent="0.25">
      <c r="A13" s="7">
        <v>4245088512</v>
      </c>
      <c r="B13" s="8">
        <v>11</v>
      </c>
      <c r="C13" s="8">
        <v>2</v>
      </c>
      <c r="D13" s="8">
        <v>53</v>
      </c>
      <c r="E13" s="8">
        <v>66</v>
      </c>
    </row>
    <row r="14" spans="1:5" x14ac:dyDescent="0.25">
      <c r="A14" s="7">
        <v>4245109750</v>
      </c>
      <c r="B14" s="8">
        <v>9</v>
      </c>
      <c r="C14" s="8">
        <v>2</v>
      </c>
      <c r="D14" s="8"/>
      <c r="E14" s="8">
        <v>11</v>
      </c>
    </row>
    <row r="15" spans="1:5" x14ac:dyDescent="0.25">
      <c r="A15" s="7">
        <v>4262876159</v>
      </c>
      <c r="B15" s="8"/>
      <c r="C15" s="8"/>
      <c r="D15" s="8">
        <v>3</v>
      </c>
      <c r="E15" s="8">
        <v>3</v>
      </c>
    </row>
    <row r="16" spans="1:5" x14ac:dyDescent="0.25">
      <c r="A16" s="7">
        <v>4265730506</v>
      </c>
      <c r="B16" s="8"/>
      <c r="C16" s="8"/>
      <c r="D16" s="8">
        <v>2</v>
      </c>
      <c r="E16" s="8">
        <v>2</v>
      </c>
    </row>
    <row r="17" spans="1:5" x14ac:dyDescent="0.25">
      <c r="A17" s="7" t="s">
        <v>159</v>
      </c>
      <c r="B17" s="8"/>
      <c r="C17" s="8"/>
      <c r="D17" s="8">
        <v>1</v>
      </c>
      <c r="E17" s="8">
        <v>1</v>
      </c>
    </row>
    <row r="18" spans="1:5" x14ac:dyDescent="0.25">
      <c r="A18" s="7" t="s">
        <v>129</v>
      </c>
      <c r="B18" s="8"/>
      <c r="C18" s="8"/>
      <c r="D18" s="8">
        <v>14</v>
      </c>
      <c r="E18" s="8">
        <v>14</v>
      </c>
    </row>
    <row r="19" spans="1:5" x14ac:dyDescent="0.25">
      <c r="A19" s="7" t="s">
        <v>253</v>
      </c>
      <c r="B19" s="8">
        <v>22</v>
      </c>
      <c r="C19" s="8">
        <v>4</v>
      </c>
      <c r="D19" s="8">
        <v>106</v>
      </c>
      <c r="E19" s="8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tabSelected="1" topLeftCell="C1" workbookViewId="0">
      <selection activeCell="J2" sqref="J2"/>
    </sheetView>
  </sheetViews>
  <sheetFormatPr baseColWidth="10" defaultRowHeight="15" x14ac:dyDescent="0.25"/>
  <cols>
    <col min="1" max="1" width="14.7109375" customWidth="1"/>
    <col min="2" max="2" width="14.5703125" customWidth="1"/>
    <col min="5" max="5" width="12.85546875" customWidth="1"/>
    <col min="6" max="6" width="11.85546875" customWidth="1"/>
    <col min="7" max="7" width="16" customWidth="1"/>
    <col min="8" max="8" width="17.7109375" customWidth="1"/>
    <col min="9" max="9" width="22.5703125" customWidth="1"/>
    <col min="10" max="10" width="20.28515625" customWidth="1"/>
    <col min="11" max="11" width="22.28515625" customWidth="1"/>
    <col min="12" max="12" width="21.28515625" customWidth="1"/>
    <col min="13" max="13" width="19" customWidth="1"/>
    <col min="14" max="14" width="21" customWidth="1"/>
    <col min="15" max="16" width="19.5703125" customWidth="1"/>
    <col min="17" max="17" width="22.42578125" customWidth="1"/>
    <col min="18" max="18" width="20.140625" customWidth="1"/>
    <col min="19" max="19" width="22.140625" customWidth="1"/>
    <col min="20" max="20" width="21.140625" customWidth="1"/>
    <col min="21" max="21" width="18.85546875" customWidth="1"/>
    <col min="22" max="22" width="20.85546875" customWidth="1"/>
    <col min="23" max="23" width="12.85546875" customWidth="1"/>
    <col min="24" max="24" width="12.7109375" customWidth="1"/>
    <col min="25" max="25" width="20.7109375" customWidth="1"/>
    <col min="26" max="26" width="22.5703125" customWidth="1"/>
    <col min="27" max="27" width="21.140625" customWidth="1"/>
    <col min="28" max="28" width="23" customWidth="1"/>
    <col min="29" max="30" width="19.7109375" customWidth="1"/>
  </cols>
  <sheetData>
    <row r="1" spans="1:30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256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93</v>
      </c>
      <c r="AD1" t="s">
        <v>94</v>
      </c>
    </row>
    <row r="2" spans="1:30" x14ac:dyDescent="0.25">
      <c r="A2">
        <v>4245088512</v>
      </c>
      <c r="C2" s="10">
        <v>45684</v>
      </c>
      <c r="D2" s="13">
        <v>0.77747685185185189</v>
      </c>
      <c r="E2">
        <v>45</v>
      </c>
      <c r="F2" t="s">
        <v>19</v>
      </c>
      <c r="G2" t="s">
        <v>20</v>
      </c>
      <c r="H2" t="s">
        <v>257</v>
      </c>
      <c r="I2" t="s">
        <v>36</v>
      </c>
      <c r="J2" t="s">
        <v>37</v>
      </c>
      <c r="K2" t="s">
        <v>38</v>
      </c>
      <c r="L2" t="s">
        <v>61</v>
      </c>
      <c r="M2" t="s">
        <v>37</v>
      </c>
      <c r="N2" t="s">
        <v>38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80</v>
      </c>
      <c r="U2" t="s">
        <v>81</v>
      </c>
      <c r="V2" t="s">
        <v>82</v>
      </c>
      <c r="W2" t="s">
        <v>41</v>
      </c>
      <c r="X2" t="s">
        <v>41</v>
      </c>
      <c r="Y2" t="s">
        <v>21</v>
      </c>
      <c r="Z2" t="s">
        <v>21</v>
      </c>
      <c r="AA2" t="s">
        <v>21</v>
      </c>
      <c r="AB2" t="s">
        <v>21</v>
      </c>
      <c r="AC2" t="s">
        <v>34</v>
      </c>
      <c r="AD2" t="s">
        <v>35</v>
      </c>
    </row>
    <row r="3" spans="1:30" x14ac:dyDescent="0.25">
      <c r="A3">
        <v>4245109750</v>
      </c>
      <c r="B3">
        <v>4245088512</v>
      </c>
      <c r="C3" s="10">
        <v>45663</v>
      </c>
      <c r="D3" s="13">
        <v>0.77443287037037034</v>
      </c>
      <c r="E3">
        <v>98</v>
      </c>
      <c r="F3" t="s">
        <v>19</v>
      </c>
      <c r="G3" t="s">
        <v>20</v>
      </c>
      <c r="H3" t="s">
        <v>257</v>
      </c>
      <c r="I3" t="s">
        <v>36</v>
      </c>
      <c r="J3" t="s">
        <v>37</v>
      </c>
      <c r="K3" t="s">
        <v>38</v>
      </c>
      <c r="L3" t="s">
        <v>39</v>
      </c>
      <c r="M3" t="s">
        <v>37</v>
      </c>
      <c r="N3" t="s">
        <v>38</v>
      </c>
      <c r="O3" t="s">
        <v>24</v>
      </c>
      <c r="P3" t="s">
        <v>25</v>
      </c>
      <c r="Q3" t="s">
        <v>40</v>
      </c>
      <c r="R3" t="s">
        <v>27</v>
      </c>
      <c r="S3" t="s">
        <v>28</v>
      </c>
      <c r="T3" t="s">
        <v>26</v>
      </c>
      <c r="U3" t="s">
        <v>27</v>
      </c>
      <c r="V3" t="s">
        <v>28</v>
      </c>
      <c r="W3" t="s">
        <v>41</v>
      </c>
      <c r="X3" t="s">
        <v>41</v>
      </c>
      <c r="Y3" t="s">
        <v>21</v>
      </c>
      <c r="Z3" t="s">
        <v>21</v>
      </c>
      <c r="AA3" t="s">
        <v>21</v>
      </c>
      <c r="AB3" t="s">
        <v>21</v>
      </c>
      <c r="AC3" t="s">
        <v>34</v>
      </c>
      <c r="AD3" t="s">
        <v>35</v>
      </c>
    </row>
    <row r="4" spans="1:30" x14ac:dyDescent="0.25">
      <c r="A4">
        <v>4245088512</v>
      </c>
      <c r="C4" s="10">
        <v>45674</v>
      </c>
      <c r="D4" s="13">
        <v>0.47658564814814813</v>
      </c>
      <c r="E4">
        <v>79</v>
      </c>
      <c r="F4" t="s">
        <v>19</v>
      </c>
      <c r="G4" t="s">
        <v>20</v>
      </c>
      <c r="H4" t="s">
        <v>257</v>
      </c>
      <c r="I4" t="s">
        <v>36</v>
      </c>
      <c r="J4" t="s">
        <v>37</v>
      </c>
      <c r="K4" t="s">
        <v>38</v>
      </c>
      <c r="L4" t="s">
        <v>61</v>
      </c>
      <c r="M4" t="s">
        <v>37</v>
      </c>
      <c r="N4" t="s">
        <v>38</v>
      </c>
      <c r="O4" t="s">
        <v>24</v>
      </c>
      <c r="P4" t="s">
        <v>25</v>
      </c>
      <c r="Q4" t="s">
        <v>40</v>
      </c>
      <c r="R4" t="s">
        <v>27</v>
      </c>
      <c r="S4" t="s">
        <v>28</v>
      </c>
      <c r="T4" t="s">
        <v>40</v>
      </c>
      <c r="U4" t="s">
        <v>27</v>
      </c>
      <c r="V4" t="s">
        <v>28</v>
      </c>
      <c r="W4" t="s">
        <v>41</v>
      </c>
      <c r="X4" t="s">
        <v>41</v>
      </c>
      <c r="Y4" t="s">
        <v>21</v>
      </c>
      <c r="Z4" t="s">
        <v>21</v>
      </c>
      <c r="AA4" t="s">
        <v>21</v>
      </c>
      <c r="AB4" t="s">
        <v>21</v>
      </c>
      <c r="AC4" t="s">
        <v>34</v>
      </c>
      <c r="AD4" t="s">
        <v>35</v>
      </c>
    </row>
    <row r="5" spans="1:30" x14ac:dyDescent="0.25">
      <c r="A5">
        <v>4245088512</v>
      </c>
      <c r="C5" s="10">
        <v>45674</v>
      </c>
      <c r="D5" s="13">
        <v>0.45332175925925927</v>
      </c>
      <c r="E5">
        <v>27</v>
      </c>
      <c r="F5" t="s">
        <v>19</v>
      </c>
      <c r="G5" t="s">
        <v>20</v>
      </c>
      <c r="H5" t="s">
        <v>257</v>
      </c>
      <c r="I5" t="s">
        <v>36</v>
      </c>
      <c r="J5" t="s">
        <v>37</v>
      </c>
      <c r="K5" t="s">
        <v>38</v>
      </c>
      <c r="L5" t="s">
        <v>39</v>
      </c>
      <c r="M5" t="s">
        <v>37</v>
      </c>
      <c r="N5" t="s">
        <v>38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26</v>
      </c>
      <c r="U5" t="s">
        <v>27</v>
      </c>
      <c r="V5" t="s">
        <v>28</v>
      </c>
      <c r="W5" t="s">
        <v>41</v>
      </c>
      <c r="X5" t="s">
        <v>41</v>
      </c>
      <c r="Y5" t="s">
        <v>21</v>
      </c>
      <c r="Z5" t="s">
        <v>21</v>
      </c>
      <c r="AA5" t="s">
        <v>21</v>
      </c>
      <c r="AB5" t="s">
        <v>21</v>
      </c>
      <c r="AC5" t="s">
        <v>34</v>
      </c>
      <c r="AD5" t="s">
        <v>35</v>
      </c>
    </row>
    <row r="6" spans="1:30" x14ac:dyDescent="0.25">
      <c r="A6">
        <v>4245088512</v>
      </c>
      <c r="C6" s="10">
        <v>45674</v>
      </c>
      <c r="D6" s="13">
        <v>0.42592592592592587</v>
      </c>
      <c r="E6">
        <v>57</v>
      </c>
      <c r="F6" t="s">
        <v>19</v>
      </c>
      <c r="G6" t="s">
        <v>20</v>
      </c>
      <c r="H6" t="s">
        <v>257</v>
      </c>
      <c r="I6" t="s">
        <v>36</v>
      </c>
      <c r="J6" t="s">
        <v>37</v>
      </c>
      <c r="K6" t="s">
        <v>38</v>
      </c>
      <c r="L6" t="s">
        <v>39</v>
      </c>
      <c r="M6" t="s">
        <v>37</v>
      </c>
      <c r="N6" t="s">
        <v>38</v>
      </c>
      <c r="O6" t="s">
        <v>24</v>
      </c>
      <c r="P6" t="s">
        <v>25</v>
      </c>
      <c r="Q6" t="s">
        <v>40</v>
      </c>
      <c r="R6" t="s">
        <v>27</v>
      </c>
      <c r="S6" t="s">
        <v>28</v>
      </c>
      <c r="T6" t="s">
        <v>26</v>
      </c>
      <c r="U6" t="s">
        <v>27</v>
      </c>
      <c r="V6" t="s">
        <v>28</v>
      </c>
      <c r="W6" t="s">
        <v>41</v>
      </c>
      <c r="X6" t="s">
        <v>41</v>
      </c>
      <c r="Y6" t="s">
        <v>21</v>
      </c>
      <c r="Z6" t="s">
        <v>21</v>
      </c>
      <c r="AA6" t="s">
        <v>21</v>
      </c>
      <c r="AB6" t="s">
        <v>21</v>
      </c>
      <c r="AC6" t="s">
        <v>34</v>
      </c>
      <c r="AD6" t="s">
        <v>35</v>
      </c>
    </row>
    <row r="7" spans="1:30" x14ac:dyDescent="0.25">
      <c r="A7">
        <v>4245109750</v>
      </c>
      <c r="B7">
        <v>4245088512</v>
      </c>
      <c r="C7" s="10">
        <v>45674</v>
      </c>
      <c r="D7" s="13">
        <v>0.41689814814814818</v>
      </c>
      <c r="E7">
        <v>179</v>
      </c>
      <c r="F7" t="s">
        <v>19</v>
      </c>
      <c r="G7" t="s">
        <v>20</v>
      </c>
      <c r="H7" t="s">
        <v>257</v>
      </c>
      <c r="I7" t="s">
        <v>36</v>
      </c>
      <c r="J7" t="s">
        <v>37</v>
      </c>
      <c r="K7" t="s">
        <v>38</v>
      </c>
      <c r="L7" t="s">
        <v>61</v>
      </c>
      <c r="M7" t="s">
        <v>37</v>
      </c>
      <c r="N7" t="s">
        <v>38</v>
      </c>
      <c r="O7" t="s">
        <v>24</v>
      </c>
      <c r="P7" t="s">
        <v>25</v>
      </c>
      <c r="Q7" t="s">
        <v>40</v>
      </c>
      <c r="R7" t="s">
        <v>27</v>
      </c>
      <c r="S7" t="s">
        <v>28</v>
      </c>
      <c r="T7" t="s">
        <v>55</v>
      </c>
      <c r="U7" t="s">
        <v>27</v>
      </c>
      <c r="V7" t="s">
        <v>28</v>
      </c>
      <c r="W7" t="s">
        <v>41</v>
      </c>
      <c r="X7" t="s">
        <v>41</v>
      </c>
      <c r="Y7" t="s">
        <v>21</v>
      </c>
      <c r="Z7" t="s">
        <v>21</v>
      </c>
      <c r="AA7" t="s">
        <v>21</v>
      </c>
      <c r="AB7" t="s">
        <v>21</v>
      </c>
      <c r="AC7" t="s">
        <v>34</v>
      </c>
      <c r="AD7" t="s">
        <v>35</v>
      </c>
    </row>
    <row r="8" spans="1:30" x14ac:dyDescent="0.25">
      <c r="A8">
        <v>4245109750</v>
      </c>
      <c r="B8">
        <v>4245088512</v>
      </c>
      <c r="C8" s="10">
        <v>45674</v>
      </c>
      <c r="D8" s="13">
        <v>0.42592592592592587</v>
      </c>
      <c r="E8">
        <v>57</v>
      </c>
      <c r="F8" t="s">
        <v>19</v>
      </c>
      <c r="G8" t="s">
        <v>20</v>
      </c>
      <c r="H8" t="s">
        <v>257</v>
      </c>
      <c r="I8" t="s">
        <v>36</v>
      </c>
      <c r="J8" t="s">
        <v>37</v>
      </c>
      <c r="K8" t="s">
        <v>38</v>
      </c>
      <c r="L8" t="s">
        <v>39</v>
      </c>
      <c r="M8" t="s">
        <v>37</v>
      </c>
      <c r="N8" t="s">
        <v>38</v>
      </c>
      <c r="O8" t="s">
        <v>24</v>
      </c>
      <c r="P8" t="s">
        <v>25</v>
      </c>
      <c r="Q8" t="s">
        <v>40</v>
      </c>
      <c r="R8" t="s">
        <v>27</v>
      </c>
      <c r="S8" t="s">
        <v>28</v>
      </c>
      <c r="T8" t="s">
        <v>26</v>
      </c>
      <c r="U8" t="s">
        <v>27</v>
      </c>
      <c r="V8" t="s">
        <v>28</v>
      </c>
      <c r="W8" t="s">
        <v>41</v>
      </c>
      <c r="X8" t="s">
        <v>41</v>
      </c>
      <c r="Y8" t="s">
        <v>21</v>
      </c>
      <c r="Z8" t="s">
        <v>21</v>
      </c>
      <c r="AA8" t="s">
        <v>21</v>
      </c>
      <c r="AB8" t="s">
        <v>21</v>
      </c>
      <c r="AC8" t="s">
        <v>34</v>
      </c>
      <c r="AD8" t="s">
        <v>35</v>
      </c>
    </row>
    <row r="9" spans="1:30" x14ac:dyDescent="0.25">
      <c r="A9">
        <v>4245109750</v>
      </c>
      <c r="B9">
        <v>4245088512</v>
      </c>
      <c r="C9" s="10">
        <v>45674</v>
      </c>
      <c r="D9" s="13">
        <v>0.45332175925925927</v>
      </c>
      <c r="E9">
        <v>27</v>
      </c>
      <c r="F9" t="s">
        <v>19</v>
      </c>
      <c r="G9" t="s">
        <v>20</v>
      </c>
      <c r="H9" t="s">
        <v>257</v>
      </c>
      <c r="I9" t="s">
        <v>36</v>
      </c>
      <c r="J9" t="s">
        <v>37</v>
      </c>
      <c r="K9" t="s">
        <v>38</v>
      </c>
      <c r="L9" t="s">
        <v>39</v>
      </c>
      <c r="M9" t="s">
        <v>37</v>
      </c>
      <c r="N9" t="s">
        <v>38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26</v>
      </c>
      <c r="U9" t="s">
        <v>27</v>
      </c>
      <c r="V9" t="s">
        <v>28</v>
      </c>
      <c r="W9" t="s">
        <v>41</v>
      </c>
      <c r="X9" t="s">
        <v>41</v>
      </c>
      <c r="Y9" t="s">
        <v>21</v>
      </c>
      <c r="Z9" t="s">
        <v>21</v>
      </c>
      <c r="AA9" t="s">
        <v>21</v>
      </c>
      <c r="AB9" t="s">
        <v>21</v>
      </c>
      <c r="AC9" t="s">
        <v>34</v>
      </c>
      <c r="AD9" t="s">
        <v>35</v>
      </c>
    </row>
    <row r="10" spans="1:30" x14ac:dyDescent="0.25">
      <c r="A10">
        <v>4245109750</v>
      </c>
      <c r="B10">
        <v>4245088512</v>
      </c>
      <c r="C10" s="10">
        <v>45674</v>
      </c>
      <c r="D10" s="13">
        <v>0.47658564814814813</v>
      </c>
      <c r="E10">
        <v>79</v>
      </c>
      <c r="F10" t="s">
        <v>19</v>
      </c>
      <c r="G10" t="s">
        <v>20</v>
      </c>
      <c r="H10" t="s">
        <v>257</v>
      </c>
      <c r="I10" t="s">
        <v>36</v>
      </c>
      <c r="J10" t="s">
        <v>37</v>
      </c>
      <c r="K10" t="s">
        <v>38</v>
      </c>
      <c r="L10" t="s">
        <v>61</v>
      </c>
      <c r="M10" t="s">
        <v>37</v>
      </c>
      <c r="N10" t="s">
        <v>38</v>
      </c>
      <c r="O10" t="s">
        <v>24</v>
      </c>
      <c r="P10" t="s">
        <v>25</v>
      </c>
      <c r="Q10" t="s">
        <v>40</v>
      </c>
      <c r="R10" t="s">
        <v>27</v>
      </c>
      <c r="S10" t="s">
        <v>28</v>
      </c>
      <c r="T10" t="s">
        <v>40</v>
      </c>
      <c r="U10" t="s">
        <v>27</v>
      </c>
      <c r="V10" t="s">
        <v>28</v>
      </c>
      <c r="W10" t="s">
        <v>41</v>
      </c>
      <c r="X10" t="s">
        <v>41</v>
      </c>
      <c r="Y10" t="s">
        <v>21</v>
      </c>
      <c r="Z10" t="s">
        <v>21</v>
      </c>
      <c r="AA10" t="s">
        <v>21</v>
      </c>
      <c r="AB10" t="s">
        <v>21</v>
      </c>
      <c r="AC10" t="s">
        <v>34</v>
      </c>
      <c r="AD10" t="s">
        <v>35</v>
      </c>
    </row>
    <row r="11" spans="1:30" x14ac:dyDescent="0.25">
      <c r="A11">
        <v>4245088512</v>
      </c>
      <c r="C11" s="10">
        <v>45674</v>
      </c>
      <c r="D11" s="13">
        <v>0.41689814814814818</v>
      </c>
      <c r="E11">
        <v>179</v>
      </c>
      <c r="F11" t="s">
        <v>19</v>
      </c>
      <c r="G11" t="s">
        <v>20</v>
      </c>
      <c r="H11" t="s">
        <v>257</v>
      </c>
      <c r="I11" t="s">
        <v>36</v>
      </c>
      <c r="J11" t="s">
        <v>37</v>
      </c>
      <c r="K11" t="s">
        <v>38</v>
      </c>
      <c r="L11" t="s">
        <v>61</v>
      </c>
      <c r="M11" t="s">
        <v>37</v>
      </c>
      <c r="N11" t="s">
        <v>38</v>
      </c>
      <c r="O11" t="s">
        <v>24</v>
      </c>
      <c r="P11" t="s">
        <v>25</v>
      </c>
      <c r="Q11" t="s">
        <v>40</v>
      </c>
      <c r="R11" t="s">
        <v>27</v>
      </c>
      <c r="S11" t="s">
        <v>28</v>
      </c>
      <c r="T11" t="s">
        <v>55</v>
      </c>
      <c r="U11" t="s">
        <v>27</v>
      </c>
      <c r="V11" t="s">
        <v>28</v>
      </c>
      <c r="W11" t="s">
        <v>41</v>
      </c>
      <c r="X11" t="s">
        <v>41</v>
      </c>
      <c r="Y11" t="s">
        <v>21</v>
      </c>
      <c r="Z11" t="s">
        <v>21</v>
      </c>
      <c r="AA11" t="s">
        <v>21</v>
      </c>
      <c r="AB11" t="s">
        <v>21</v>
      </c>
      <c r="AC11" t="s">
        <v>34</v>
      </c>
      <c r="AD11" t="s">
        <v>35</v>
      </c>
    </row>
    <row r="12" spans="1:30" x14ac:dyDescent="0.25">
      <c r="A12">
        <v>4245088512</v>
      </c>
      <c r="C12" s="10">
        <v>45663</v>
      </c>
      <c r="D12" s="13">
        <v>0.77443287037037034</v>
      </c>
      <c r="E12">
        <v>98</v>
      </c>
      <c r="F12" t="s">
        <v>19</v>
      </c>
      <c r="G12" t="s">
        <v>20</v>
      </c>
      <c r="H12" t="s">
        <v>257</v>
      </c>
      <c r="I12" t="s">
        <v>36</v>
      </c>
      <c r="J12" t="s">
        <v>37</v>
      </c>
      <c r="K12" t="s">
        <v>38</v>
      </c>
      <c r="L12" t="s">
        <v>39</v>
      </c>
      <c r="M12" t="s">
        <v>37</v>
      </c>
      <c r="N12" t="s">
        <v>38</v>
      </c>
      <c r="O12" t="s">
        <v>24</v>
      </c>
      <c r="P12" t="s">
        <v>25</v>
      </c>
      <c r="Q12" t="s">
        <v>40</v>
      </c>
      <c r="R12" t="s">
        <v>27</v>
      </c>
      <c r="S12" t="s">
        <v>28</v>
      </c>
      <c r="T12" t="s">
        <v>26</v>
      </c>
      <c r="U12" t="s">
        <v>27</v>
      </c>
      <c r="V12" t="s">
        <v>28</v>
      </c>
      <c r="W12" t="s">
        <v>41</v>
      </c>
      <c r="X12" t="s">
        <v>41</v>
      </c>
      <c r="Y12" t="s">
        <v>21</v>
      </c>
      <c r="Z12" t="s">
        <v>21</v>
      </c>
      <c r="AA12" t="s">
        <v>21</v>
      </c>
      <c r="AB12" t="s">
        <v>21</v>
      </c>
      <c r="AC12" t="s">
        <v>34</v>
      </c>
      <c r="AD12" t="s">
        <v>35</v>
      </c>
    </row>
    <row r="13" spans="1:30" x14ac:dyDescent="0.25">
      <c r="A13">
        <v>4245109750</v>
      </c>
      <c r="B13">
        <v>4245088512</v>
      </c>
      <c r="C13" s="10">
        <v>45684</v>
      </c>
      <c r="D13" s="13">
        <v>0.77747685185185189</v>
      </c>
      <c r="E13">
        <v>45</v>
      </c>
      <c r="F13" t="s">
        <v>19</v>
      </c>
      <c r="G13" t="s">
        <v>20</v>
      </c>
      <c r="H13" t="s">
        <v>257</v>
      </c>
      <c r="I13" t="s">
        <v>36</v>
      </c>
      <c r="J13" t="s">
        <v>37</v>
      </c>
      <c r="K13" t="s">
        <v>38</v>
      </c>
      <c r="L13" t="s">
        <v>61</v>
      </c>
      <c r="M13" t="s">
        <v>37</v>
      </c>
      <c r="N13" t="s">
        <v>38</v>
      </c>
      <c r="O13" t="s">
        <v>24</v>
      </c>
      <c r="P13" t="s">
        <v>25</v>
      </c>
      <c r="Q13" t="s">
        <v>26</v>
      </c>
      <c r="R13" t="s">
        <v>27</v>
      </c>
      <c r="S13" t="s">
        <v>28</v>
      </c>
      <c r="T13" t="s">
        <v>80</v>
      </c>
      <c r="U13" t="s">
        <v>81</v>
      </c>
      <c r="V13" t="s">
        <v>82</v>
      </c>
      <c r="W13" t="s">
        <v>41</v>
      </c>
      <c r="X13" t="s">
        <v>41</v>
      </c>
      <c r="Y13" t="s">
        <v>21</v>
      </c>
      <c r="Z13" t="s">
        <v>21</v>
      </c>
      <c r="AA13" t="s">
        <v>21</v>
      </c>
      <c r="AB13" t="s">
        <v>21</v>
      </c>
      <c r="AC13" t="s">
        <v>34</v>
      </c>
      <c r="AD13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opLeftCell="B1" workbookViewId="0">
      <selection activeCell="B4" sqref="B4"/>
    </sheetView>
  </sheetViews>
  <sheetFormatPr baseColWidth="10" defaultRowHeight="15" x14ac:dyDescent="0.25"/>
  <cols>
    <col min="1" max="1" width="234.5703125" customWidth="1"/>
    <col min="2" max="2" width="22.28515625" bestFit="1" customWidth="1"/>
  </cols>
  <sheetData>
    <row r="3" spans="1:2" x14ac:dyDescent="0.25">
      <c r="A3" s="6" t="s">
        <v>252</v>
      </c>
      <c r="B3" t="s">
        <v>255</v>
      </c>
    </row>
    <row r="4" spans="1:2" x14ac:dyDescent="0.25">
      <c r="A4" s="7" t="s">
        <v>36</v>
      </c>
      <c r="B4" s="8">
        <v>12</v>
      </c>
    </row>
    <row r="5" spans="1:2" x14ac:dyDescent="0.25">
      <c r="A5" s="7" t="s">
        <v>46</v>
      </c>
      <c r="B5" s="8">
        <v>4</v>
      </c>
    </row>
    <row r="6" spans="1:2" x14ac:dyDescent="0.25">
      <c r="A6" s="7" t="s">
        <v>22</v>
      </c>
      <c r="B6" s="8">
        <v>4</v>
      </c>
    </row>
    <row r="7" spans="1:2" x14ac:dyDescent="0.25">
      <c r="A7" s="7" t="s">
        <v>61</v>
      </c>
      <c r="B7" s="8">
        <v>2</v>
      </c>
    </row>
    <row r="8" spans="1:2" x14ac:dyDescent="0.25">
      <c r="A8" s="7" t="s">
        <v>74</v>
      </c>
      <c r="B8" s="8">
        <v>2</v>
      </c>
    </row>
    <row r="9" spans="1:2" x14ac:dyDescent="0.25">
      <c r="A9" s="7" t="s">
        <v>26</v>
      </c>
      <c r="B9" s="8">
        <v>2</v>
      </c>
    </row>
    <row r="10" spans="1:2" x14ac:dyDescent="0.25">
      <c r="A10" s="7" t="s">
        <v>253</v>
      </c>
      <c r="B10" s="8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3"/>
  <sheetViews>
    <sheetView topLeftCell="A2" workbookViewId="0">
      <selection activeCell="B69" sqref="B69"/>
    </sheetView>
  </sheetViews>
  <sheetFormatPr baseColWidth="10" defaultColWidth="14.7109375" defaultRowHeight="14.1" customHeight="1" x14ac:dyDescent="0.25"/>
  <sheetData>
    <row r="1" spans="1:30" ht="14.1" customHeight="1" x14ac:dyDescent="0.25">
      <c r="A1" t="s">
        <v>86</v>
      </c>
      <c r="B1" t="s">
        <v>87</v>
      </c>
      <c r="C1" s="10" t="s">
        <v>88</v>
      </c>
      <c r="D1" s="11" t="s">
        <v>89</v>
      </c>
      <c r="E1" t="s">
        <v>90</v>
      </c>
      <c r="F1" t="s">
        <v>91</v>
      </c>
      <c r="G1" t="s">
        <v>92</v>
      </c>
      <c r="H1" t="s">
        <v>256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93</v>
      </c>
      <c r="AD1" t="s">
        <v>94</v>
      </c>
    </row>
    <row r="2" spans="1:30" ht="14.1" customHeight="1" x14ac:dyDescent="0.25">
      <c r="A2" s="4">
        <v>4128990551</v>
      </c>
      <c r="B2" s="4">
        <v>4245088512</v>
      </c>
      <c r="C2" s="9">
        <v>45663</v>
      </c>
      <c r="D2" s="12">
        <v>0.63011574074074073</v>
      </c>
      <c r="E2" s="4">
        <v>59</v>
      </c>
      <c r="F2" s="3" t="s">
        <v>19</v>
      </c>
      <c r="G2" s="3" t="s">
        <v>20</v>
      </c>
      <c r="H2" s="3" t="str">
        <f>CONCATENATE(Table278[[#This Row],[TIPO_CDR]]," ",Table278[[#This Row],[TRANSACCION]])</f>
        <v>LLAMADA ENTRANTE</v>
      </c>
      <c r="I2" s="3" t="s">
        <v>22</v>
      </c>
      <c r="J2" s="3" t="s">
        <v>23</v>
      </c>
      <c r="K2" s="3" t="s">
        <v>23</v>
      </c>
      <c r="L2" s="3" t="s">
        <v>22</v>
      </c>
      <c r="M2" s="3" t="s">
        <v>23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29</v>
      </c>
      <c r="Y2" s="3" t="s">
        <v>30</v>
      </c>
      <c r="Z2" s="3" t="s">
        <v>21</v>
      </c>
      <c r="AA2" s="3" t="s">
        <v>30</v>
      </c>
      <c r="AB2" s="3" t="s">
        <v>21</v>
      </c>
      <c r="AC2" s="3" t="s">
        <v>21</v>
      </c>
      <c r="AD2" s="3" t="s">
        <v>21</v>
      </c>
    </row>
    <row r="3" spans="1:30" ht="14.1" customHeight="1" x14ac:dyDescent="0.25">
      <c r="A3" s="4">
        <v>4245109750</v>
      </c>
      <c r="B3" s="4">
        <v>4245088512</v>
      </c>
      <c r="C3" s="9">
        <v>45663</v>
      </c>
      <c r="D3" s="12">
        <v>0.77443287037037034</v>
      </c>
      <c r="E3" s="4">
        <v>98</v>
      </c>
      <c r="F3" s="3" t="s">
        <v>19</v>
      </c>
      <c r="G3" s="3" t="s">
        <v>20</v>
      </c>
      <c r="H3" s="3" t="str">
        <f>CONCATENATE(Table278[[#This Row],[TIPO_CDR]]," ",Table278[[#This Row],[TRANSACCION]])</f>
        <v>LLAMADA ENTRANTE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37</v>
      </c>
      <c r="N3" s="3" t="s">
        <v>38</v>
      </c>
      <c r="O3" s="3" t="s">
        <v>24</v>
      </c>
      <c r="P3" s="3" t="s">
        <v>25</v>
      </c>
      <c r="Q3" s="3" t="s">
        <v>40</v>
      </c>
      <c r="R3" s="3" t="s">
        <v>27</v>
      </c>
      <c r="S3" s="3" t="s">
        <v>28</v>
      </c>
      <c r="T3" s="3" t="s">
        <v>26</v>
      </c>
      <c r="U3" s="3" t="s">
        <v>27</v>
      </c>
      <c r="V3" s="3" t="s">
        <v>28</v>
      </c>
      <c r="W3" s="3" t="s">
        <v>41</v>
      </c>
      <c r="X3" s="3" t="s">
        <v>41</v>
      </c>
      <c r="Y3" s="3" t="s">
        <v>21</v>
      </c>
      <c r="Z3" s="3" t="s">
        <v>21</v>
      </c>
      <c r="AA3" s="3" t="s">
        <v>21</v>
      </c>
      <c r="AB3" s="3" t="s">
        <v>21</v>
      </c>
      <c r="AC3" s="3" t="s">
        <v>34</v>
      </c>
      <c r="AD3" s="3" t="s">
        <v>35</v>
      </c>
    </row>
    <row r="4" spans="1:30" ht="14.1" customHeight="1" x14ac:dyDescent="0.25">
      <c r="A4" s="4">
        <v>4245088512</v>
      </c>
      <c r="B4" s="4">
        <v>4245109750</v>
      </c>
      <c r="C4" s="9">
        <v>45664</v>
      </c>
      <c r="D4" s="12">
        <v>0.45848379629629626</v>
      </c>
      <c r="E4" s="4">
        <v>97</v>
      </c>
      <c r="F4" s="3" t="s">
        <v>19</v>
      </c>
      <c r="G4" s="3" t="s">
        <v>45</v>
      </c>
      <c r="H4" s="3" t="str">
        <f>CONCATENATE(Table278[[#This Row],[TIPO_CDR]]," ",Table278[[#This Row],[TRANSACCION]])</f>
        <v>LLAMADA SALIENTE</v>
      </c>
      <c r="I4" s="3" t="s">
        <v>46</v>
      </c>
      <c r="J4" s="3" t="s">
        <v>47</v>
      </c>
      <c r="K4" s="3" t="s">
        <v>48</v>
      </c>
      <c r="L4" s="3" t="s">
        <v>46</v>
      </c>
      <c r="M4" s="3" t="s">
        <v>47</v>
      </c>
      <c r="N4" s="3" t="s">
        <v>48</v>
      </c>
      <c r="O4" s="3" t="s">
        <v>34</v>
      </c>
      <c r="P4" s="3" t="s">
        <v>35</v>
      </c>
      <c r="Q4" s="3" t="s">
        <v>49</v>
      </c>
      <c r="R4" s="3" t="s">
        <v>47</v>
      </c>
      <c r="S4" s="3" t="s">
        <v>48</v>
      </c>
      <c r="T4" s="3" t="s">
        <v>49</v>
      </c>
      <c r="U4" s="3" t="s">
        <v>47</v>
      </c>
      <c r="V4" s="3" t="s">
        <v>48</v>
      </c>
      <c r="W4" s="3" t="s">
        <v>41</v>
      </c>
      <c r="X4" s="3" t="s">
        <v>41</v>
      </c>
      <c r="Y4" s="3" t="s">
        <v>21</v>
      </c>
      <c r="Z4" s="3" t="s">
        <v>21</v>
      </c>
      <c r="AA4" s="3" t="s">
        <v>21</v>
      </c>
      <c r="AB4" s="3" t="s">
        <v>21</v>
      </c>
      <c r="AC4" s="3" t="s">
        <v>24</v>
      </c>
      <c r="AD4" s="3" t="s">
        <v>25</v>
      </c>
    </row>
    <row r="5" spans="1:30" ht="14.1" customHeight="1" x14ac:dyDescent="0.25">
      <c r="A5" s="4">
        <v>4245088512</v>
      </c>
      <c r="B5" s="4">
        <v>4245109750</v>
      </c>
      <c r="C5" s="9">
        <v>45664</v>
      </c>
      <c r="D5" s="12">
        <v>0.48185185185185181</v>
      </c>
      <c r="E5" s="4">
        <v>31</v>
      </c>
      <c r="F5" s="3" t="s">
        <v>19</v>
      </c>
      <c r="G5" s="3" t="s">
        <v>45</v>
      </c>
      <c r="H5" s="3" t="str">
        <f>CONCATENATE(Table278[[#This Row],[TIPO_CDR]]," ",Table278[[#This Row],[TRANSACCION]])</f>
        <v>LLAMADA SALIENTE</v>
      </c>
      <c r="I5" s="3" t="s">
        <v>46</v>
      </c>
      <c r="J5" s="3" t="s">
        <v>47</v>
      </c>
      <c r="K5" s="3" t="s">
        <v>48</v>
      </c>
      <c r="L5" s="3" t="s">
        <v>46</v>
      </c>
      <c r="M5" s="3" t="s">
        <v>47</v>
      </c>
      <c r="N5" s="3" t="s">
        <v>48</v>
      </c>
      <c r="O5" s="3" t="s">
        <v>34</v>
      </c>
      <c r="P5" s="3" t="s">
        <v>35</v>
      </c>
      <c r="Q5" s="3" t="s">
        <v>49</v>
      </c>
      <c r="R5" s="3" t="s">
        <v>47</v>
      </c>
      <c r="S5" s="3" t="s">
        <v>48</v>
      </c>
      <c r="T5" s="3" t="s">
        <v>49</v>
      </c>
      <c r="U5" s="3" t="s">
        <v>47</v>
      </c>
      <c r="V5" s="3" t="s">
        <v>48</v>
      </c>
      <c r="W5" s="3" t="s">
        <v>41</v>
      </c>
      <c r="X5" s="3" t="s">
        <v>41</v>
      </c>
      <c r="Y5" s="3" t="s">
        <v>21</v>
      </c>
      <c r="Z5" s="3" t="s">
        <v>21</v>
      </c>
      <c r="AA5" s="3" t="s">
        <v>21</v>
      </c>
      <c r="AB5" s="3" t="s">
        <v>21</v>
      </c>
      <c r="AC5" s="3" t="s">
        <v>24</v>
      </c>
      <c r="AD5" s="3" t="s">
        <v>25</v>
      </c>
    </row>
    <row r="6" spans="1:30" ht="14.1" customHeight="1" x14ac:dyDescent="0.25">
      <c r="A6" s="4">
        <v>2128027511</v>
      </c>
      <c r="B6" s="4">
        <v>4245088512</v>
      </c>
      <c r="C6" s="9">
        <v>45664</v>
      </c>
      <c r="D6" s="12">
        <v>0.63126157407407402</v>
      </c>
      <c r="E6" s="4">
        <v>42</v>
      </c>
      <c r="F6" s="3" t="s">
        <v>19</v>
      </c>
      <c r="G6" s="3" t="s">
        <v>20</v>
      </c>
      <c r="H6" s="3" t="str">
        <f>CONCATENATE(Table278[[#This Row],[TIPO_CDR]]," ",Table278[[#This Row],[TRANSACCION]])</f>
        <v>LLAMADA ENTRANTE</v>
      </c>
      <c r="I6" s="3" t="s">
        <v>22</v>
      </c>
      <c r="J6" s="3" t="s">
        <v>23</v>
      </c>
      <c r="K6" s="3" t="s">
        <v>23</v>
      </c>
      <c r="L6" s="3" t="s">
        <v>22</v>
      </c>
      <c r="M6" s="3" t="s">
        <v>23</v>
      </c>
      <c r="N6" s="3" t="s">
        <v>23</v>
      </c>
      <c r="O6" s="3" t="s">
        <v>24</v>
      </c>
      <c r="P6" s="3" t="s">
        <v>25</v>
      </c>
      <c r="Q6" s="3" t="s">
        <v>55</v>
      </c>
      <c r="R6" s="3" t="s">
        <v>27</v>
      </c>
      <c r="S6" s="3" t="s">
        <v>28</v>
      </c>
      <c r="T6" s="3" t="s">
        <v>40</v>
      </c>
      <c r="U6" s="3" t="s">
        <v>27</v>
      </c>
      <c r="V6" s="3" t="s">
        <v>28</v>
      </c>
      <c r="W6" s="3" t="s">
        <v>56</v>
      </c>
      <c r="X6" s="3" t="s">
        <v>56</v>
      </c>
      <c r="Y6" s="3" t="s">
        <v>57</v>
      </c>
      <c r="Z6" s="3" t="s">
        <v>21</v>
      </c>
      <c r="AA6" s="3" t="s">
        <v>57</v>
      </c>
      <c r="AB6" s="3" t="s">
        <v>21</v>
      </c>
      <c r="AC6" s="3" t="s">
        <v>21</v>
      </c>
      <c r="AD6" s="3" t="s">
        <v>21</v>
      </c>
    </row>
    <row r="7" spans="1:30" ht="14.1" customHeight="1" x14ac:dyDescent="0.25">
      <c r="A7" s="4">
        <v>4245109750</v>
      </c>
      <c r="B7" s="4">
        <v>4245088512</v>
      </c>
      <c r="C7" s="9">
        <v>45674</v>
      </c>
      <c r="D7" s="12">
        <v>0.41689814814814818</v>
      </c>
      <c r="E7" s="4">
        <v>179</v>
      </c>
      <c r="F7" s="3" t="s">
        <v>19</v>
      </c>
      <c r="G7" s="3" t="s">
        <v>20</v>
      </c>
      <c r="H7" s="3" t="str">
        <f>CONCATENATE(Table278[[#This Row],[TIPO_CDR]]," ",Table278[[#This Row],[TRANSACCION]])</f>
        <v>LLAMADA ENTRANTE</v>
      </c>
      <c r="I7" s="3" t="s">
        <v>36</v>
      </c>
      <c r="J7" s="3" t="s">
        <v>37</v>
      </c>
      <c r="K7" s="3" t="s">
        <v>38</v>
      </c>
      <c r="L7" s="3" t="s">
        <v>61</v>
      </c>
      <c r="M7" s="3" t="s">
        <v>37</v>
      </c>
      <c r="N7" s="3" t="s">
        <v>38</v>
      </c>
      <c r="O7" s="3" t="s">
        <v>24</v>
      </c>
      <c r="P7" s="3" t="s">
        <v>25</v>
      </c>
      <c r="Q7" s="3" t="s">
        <v>40</v>
      </c>
      <c r="R7" s="3" t="s">
        <v>27</v>
      </c>
      <c r="S7" s="3" t="s">
        <v>28</v>
      </c>
      <c r="T7" s="3" t="s">
        <v>55</v>
      </c>
      <c r="U7" s="3" t="s">
        <v>27</v>
      </c>
      <c r="V7" s="3" t="s">
        <v>28</v>
      </c>
      <c r="W7" s="3" t="s">
        <v>41</v>
      </c>
      <c r="X7" s="3" t="s">
        <v>41</v>
      </c>
      <c r="Y7" s="3" t="s">
        <v>21</v>
      </c>
      <c r="Z7" s="3" t="s">
        <v>21</v>
      </c>
      <c r="AA7" s="3" t="s">
        <v>21</v>
      </c>
      <c r="AB7" s="3" t="s">
        <v>21</v>
      </c>
      <c r="AC7" s="3" t="s">
        <v>34</v>
      </c>
      <c r="AD7" s="3" t="s">
        <v>35</v>
      </c>
    </row>
    <row r="8" spans="1:30" ht="14.1" customHeight="1" x14ac:dyDescent="0.25">
      <c r="A8" s="4">
        <v>4245109750</v>
      </c>
      <c r="B8" s="4">
        <v>4245088512</v>
      </c>
      <c r="C8" s="9">
        <v>45674</v>
      </c>
      <c r="D8" s="12">
        <v>0.42592592592592587</v>
      </c>
      <c r="E8" s="4">
        <v>57</v>
      </c>
      <c r="F8" s="3" t="s">
        <v>19</v>
      </c>
      <c r="G8" s="3" t="s">
        <v>20</v>
      </c>
      <c r="H8" s="3" t="str">
        <f>CONCATENATE(Table278[[#This Row],[TIPO_CDR]]," ",Table278[[#This Row],[TRANSACCION]])</f>
        <v>LLAMADA ENTRANTE</v>
      </c>
      <c r="I8" s="3" t="s">
        <v>36</v>
      </c>
      <c r="J8" s="3" t="s">
        <v>37</v>
      </c>
      <c r="K8" s="3" t="s">
        <v>38</v>
      </c>
      <c r="L8" s="3" t="s">
        <v>39</v>
      </c>
      <c r="M8" s="3" t="s">
        <v>37</v>
      </c>
      <c r="N8" s="3" t="s">
        <v>38</v>
      </c>
      <c r="O8" s="3" t="s">
        <v>24</v>
      </c>
      <c r="P8" s="3" t="s">
        <v>25</v>
      </c>
      <c r="Q8" s="3" t="s">
        <v>40</v>
      </c>
      <c r="R8" s="3" t="s">
        <v>27</v>
      </c>
      <c r="S8" s="3" t="s">
        <v>28</v>
      </c>
      <c r="T8" s="3" t="s">
        <v>26</v>
      </c>
      <c r="U8" s="3" t="s">
        <v>27</v>
      </c>
      <c r="V8" s="3" t="s">
        <v>28</v>
      </c>
      <c r="W8" s="3" t="s">
        <v>41</v>
      </c>
      <c r="X8" s="3" t="s">
        <v>41</v>
      </c>
      <c r="Y8" s="3" t="s">
        <v>21</v>
      </c>
      <c r="Z8" s="3" t="s">
        <v>21</v>
      </c>
      <c r="AA8" s="3" t="s">
        <v>21</v>
      </c>
      <c r="AB8" s="3" t="s">
        <v>21</v>
      </c>
      <c r="AC8" s="3" t="s">
        <v>34</v>
      </c>
      <c r="AD8" s="3" t="s">
        <v>35</v>
      </c>
    </row>
    <row r="9" spans="1:30" ht="14.1" customHeight="1" x14ac:dyDescent="0.25">
      <c r="A9" s="4">
        <v>4245109750</v>
      </c>
      <c r="B9" s="4">
        <v>4245088512</v>
      </c>
      <c r="C9" s="9">
        <v>45674</v>
      </c>
      <c r="D9" s="12">
        <v>0.45332175925925927</v>
      </c>
      <c r="E9" s="4">
        <v>27</v>
      </c>
      <c r="F9" s="3" t="s">
        <v>19</v>
      </c>
      <c r="G9" s="3" t="s">
        <v>20</v>
      </c>
      <c r="H9" s="3" t="str">
        <f>CONCATENATE(Table278[[#This Row],[TIPO_CDR]]," ",Table278[[#This Row],[TRANSACCION]])</f>
        <v>LLAMADA ENTRANTE</v>
      </c>
      <c r="I9" s="3" t="s">
        <v>36</v>
      </c>
      <c r="J9" s="3" t="s">
        <v>37</v>
      </c>
      <c r="K9" s="3" t="s">
        <v>38</v>
      </c>
      <c r="L9" s="3" t="s">
        <v>39</v>
      </c>
      <c r="M9" s="3" t="s">
        <v>37</v>
      </c>
      <c r="N9" s="3" t="s">
        <v>38</v>
      </c>
      <c r="O9" s="3" t="s">
        <v>24</v>
      </c>
      <c r="P9" s="3" t="s">
        <v>25</v>
      </c>
      <c r="Q9" s="3" t="s">
        <v>26</v>
      </c>
      <c r="R9" s="3" t="s">
        <v>27</v>
      </c>
      <c r="S9" s="3" t="s">
        <v>28</v>
      </c>
      <c r="T9" s="3" t="s">
        <v>26</v>
      </c>
      <c r="U9" s="3" t="s">
        <v>27</v>
      </c>
      <c r="V9" s="3" t="s">
        <v>28</v>
      </c>
      <c r="W9" s="3" t="s">
        <v>41</v>
      </c>
      <c r="X9" s="3" t="s">
        <v>41</v>
      </c>
      <c r="Y9" s="3" t="s">
        <v>21</v>
      </c>
      <c r="Z9" s="3" t="s">
        <v>21</v>
      </c>
      <c r="AA9" s="3" t="s">
        <v>21</v>
      </c>
      <c r="AB9" s="3" t="s">
        <v>21</v>
      </c>
      <c r="AC9" s="3" t="s">
        <v>34</v>
      </c>
      <c r="AD9" s="3" t="s">
        <v>35</v>
      </c>
    </row>
    <row r="10" spans="1:30" ht="14.1" customHeight="1" x14ac:dyDescent="0.25">
      <c r="A10" s="4">
        <v>4245109750</v>
      </c>
      <c r="B10" s="4">
        <v>4245088512</v>
      </c>
      <c r="C10" s="9">
        <v>45674</v>
      </c>
      <c r="D10" s="12">
        <v>0.47658564814814813</v>
      </c>
      <c r="E10" s="4">
        <v>79</v>
      </c>
      <c r="F10" s="3" t="s">
        <v>19</v>
      </c>
      <c r="G10" s="3" t="s">
        <v>20</v>
      </c>
      <c r="H10" s="3" t="str">
        <f>CONCATENATE(Table278[[#This Row],[TIPO_CDR]]," ",Table278[[#This Row],[TRANSACCION]])</f>
        <v>LLAMADA ENTRANTE</v>
      </c>
      <c r="I10" s="3" t="s">
        <v>36</v>
      </c>
      <c r="J10" s="3" t="s">
        <v>37</v>
      </c>
      <c r="K10" s="3" t="s">
        <v>38</v>
      </c>
      <c r="L10" s="3" t="s">
        <v>61</v>
      </c>
      <c r="M10" s="3" t="s">
        <v>37</v>
      </c>
      <c r="N10" s="3" t="s">
        <v>38</v>
      </c>
      <c r="O10" s="3" t="s">
        <v>24</v>
      </c>
      <c r="P10" s="3" t="s">
        <v>25</v>
      </c>
      <c r="Q10" s="3" t="s">
        <v>40</v>
      </c>
      <c r="R10" s="3" t="s">
        <v>27</v>
      </c>
      <c r="S10" s="3" t="s">
        <v>28</v>
      </c>
      <c r="T10" s="3" t="s">
        <v>40</v>
      </c>
      <c r="U10" s="3" t="s">
        <v>27</v>
      </c>
      <c r="V10" s="3" t="s">
        <v>28</v>
      </c>
      <c r="W10" s="3" t="s">
        <v>41</v>
      </c>
      <c r="X10" s="3" t="s">
        <v>41</v>
      </c>
      <c r="Y10" s="3" t="s">
        <v>21</v>
      </c>
      <c r="Z10" s="3" t="s">
        <v>21</v>
      </c>
      <c r="AA10" s="3" t="s">
        <v>21</v>
      </c>
      <c r="AB10" s="3" t="s">
        <v>21</v>
      </c>
      <c r="AC10" s="3" t="s">
        <v>34</v>
      </c>
      <c r="AD10" s="3" t="s">
        <v>35</v>
      </c>
    </row>
    <row r="11" spans="1:30" ht="14.1" customHeight="1" x14ac:dyDescent="0.25">
      <c r="A11" s="4">
        <v>4245109750</v>
      </c>
      <c r="B11" s="4">
        <v>4245088512</v>
      </c>
      <c r="C11" s="9">
        <v>45676</v>
      </c>
      <c r="D11" s="12">
        <v>0.7465046296296296</v>
      </c>
      <c r="E11" s="4">
        <v>46</v>
      </c>
      <c r="F11" s="3" t="s">
        <v>19</v>
      </c>
      <c r="G11" s="3" t="s">
        <v>20</v>
      </c>
      <c r="H11" s="3" t="str">
        <f>CONCATENATE(Table278[[#This Row],[TIPO_CDR]]," ",Table278[[#This Row],[TRANSACCION]])</f>
        <v>LLAMADA ENTRANTE</v>
      </c>
      <c r="I11" s="3" t="s">
        <v>26</v>
      </c>
      <c r="J11" s="3" t="s">
        <v>27</v>
      </c>
      <c r="K11" s="3" t="s">
        <v>28</v>
      </c>
      <c r="L11" s="3" t="s">
        <v>26</v>
      </c>
      <c r="M11" s="3" t="s">
        <v>27</v>
      </c>
      <c r="N11" s="3" t="s">
        <v>28</v>
      </c>
      <c r="O11" s="3" t="s">
        <v>24</v>
      </c>
      <c r="P11" s="3" t="s">
        <v>25</v>
      </c>
      <c r="Q11" s="3" t="s">
        <v>40</v>
      </c>
      <c r="R11" s="3" t="s">
        <v>27</v>
      </c>
      <c r="S11" s="3" t="s">
        <v>28</v>
      </c>
      <c r="T11" s="3" t="s">
        <v>40</v>
      </c>
      <c r="U11" s="3" t="s">
        <v>27</v>
      </c>
      <c r="V11" s="3" t="s">
        <v>28</v>
      </c>
      <c r="W11" s="3" t="s">
        <v>41</v>
      </c>
      <c r="X11" s="3" t="s">
        <v>41</v>
      </c>
      <c r="Y11" s="3" t="s">
        <v>21</v>
      </c>
      <c r="Z11" s="3" t="s">
        <v>21</v>
      </c>
      <c r="AA11" s="3" t="s">
        <v>21</v>
      </c>
      <c r="AB11" s="3" t="s">
        <v>21</v>
      </c>
      <c r="AC11" s="3" t="s">
        <v>34</v>
      </c>
      <c r="AD11" s="3" t="s">
        <v>35</v>
      </c>
    </row>
    <row r="12" spans="1:30" ht="14.1" customHeight="1" x14ac:dyDescent="0.25">
      <c r="A12" s="4">
        <v>4245109750</v>
      </c>
      <c r="B12" s="4">
        <v>4245088512</v>
      </c>
      <c r="C12" s="9">
        <v>45678</v>
      </c>
      <c r="D12" s="12">
        <v>0.43458333333333332</v>
      </c>
      <c r="E12" s="4">
        <v>88</v>
      </c>
      <c r="F12" s="3" t="s">
        <v>19</v>
      </c>
      <c r="G12" s="3" t="s">
        <v>20</v>
      </c>
      <c r="H12" s="3" t="str">
        <f>CONCATENATE(Table278[[#This Row],[TIPO_CDR]]," ",Table278[[#This Row],[TRANSACCION]])</f>
        <v>LLAMADA ENTRANTE</v>
      </c>
      <c r="I12" s="3" t="s">
        <v>74</v>
      </c>
      <c r="J12" s="3" t="s">
        <v>75</v>
      </c>
      <c r="K12" s="3" t="s">
        <v>76</v>
      </c>
      <c r="L12" s="3" t="s">
        <v>74</v>
      </c>
      <c r="M12" s="3" t="s">
        <v>75</v>
      </c>
      <c r="N12" s="3" t="s">
        <v>76</v>
      </c>
      <c r="O12" s="3" t="s">
        <v>24</v>
      </c>
      <c r="P12" s="3" t="s">
        <v>25</v>
      </c>
      <c r="Q12" s="3" t="s">
        <v>55</v>
      </c>
      <c r="R12" s="3" t="s">
        <v>27</v>
      </c>
      <c r="S12" s="3" t="s">
        <v>28</v>
      </c>
      <c r="T12" s="3" t="s">
        <v>40</v>
      </c>
      <c r="U12" s="3" t="s">
        <v>27</v>
      </c>
      <c r="V12" s="3" t="s">
        <v>28</v>
      </c>
      <c r="W12" s="3" t="s">
        <v>41</v>
      </c>
      <c r="X12" s="3" t="s">
        <v>41</v>
      </c>
      <c r="Y12" s="3" t="s">
        <v>21</v>
      </c>
      <c r="Z12" s="3" t="s">
        <v>21</v>
      </c>
      <c r="AA12" s="3" t="s">
        <v>21</v>
      </c>
      <c r="AB12" s="3" t="s">
        <v>21</v>
      </c>
      <c r="AC12" s="3" t="s">
        <v>34</v>
      </c>
      <c r="AD12" s="3" t="s">
        <v>35</v>
      </c>
    </row>
    <row r="13" spans="1:30" ht="14.1" customHeight="1" x14ac:dyDescent="0.25">
      <c r="A13" s="4">
        <v>4245109750</v>
      </c>
      <c r="B13" s="4">
        <v>4245088512</v>
      </c>
      <c r="C13" s="9">
        <v>45684</v>
      </c>
      <c r="D13" s="12">
        <v>0.77747685185185189</v>
      </c>
      <c r="E13" s="4">
        <v>45</v>
      </c>
      <c r="F13" s="3" t="s">
        <v>19</v>
      </c>
      <c r="G13" s="3" t="s">
        <v>20</v>
      </c>
      <c r="H13" s="3" t="str">
        <f>CONCATENATE(Table278[[#This Row],[TIPO_CDR]]," ",Table278[[#This Row],[TRANSACCION]])</f>
        <v>LLAMADA ENTRANTE</v>
      </c>
      <c r="I13" s="3" t="s">
        <v>36</v>
      </c>
      <c r="J13" s="3" t="s">
        <v>37</v>
      </c>
      <c r="K13" s="3" t="s">
        <v>38</v>
      </c>
      <c r="L13" s="3" t="s">
        <v>61</v>
      </c>
      <c r="M13" s="3" t="s">
        <v>37</v>
      </c>
      <c r="N13" s="3" t="s">
        <v>38</v>
      </c>
      <c r="O13" s="3" t="s">
        <v>24</v>
      </c>
      <c r="P13" s="3" t="s">
        <v>25</v>
      </c>
      <c r="Q13" s="3" t="s">
        <v>26</v>
      </c>
      <c r="R13" s="3" t="s">
        <v>27</v>
      </c>
      <c r="S13" s="3" t="s">
        <v>28</v>
      </c>
      <c r="T13" s="3" t="s">
        <v>80</v>
      </c>
      <c r="U13" s="3" t="s">
        <v>81</v>
      </c>
      <c r="V13" s="3" t="s">
        <v>82</v>
      </c>
      <c r="W13" s="3" t="s">
        <v>41</v>
      </c>
      <c r="X13" s="3" t="s">
        <v>41</v>
      </c>
      <c r="Y13" s="3" t="s">
        <v>21</v>
      </c>
      <c r="Z13" s="3" t="s">
        <v>21</v>
      </c>
      <c r="AA13" s="3" t="s">
        <v>21</v>
      </c>
      <c r="AB13" s="3" t="s">
        <v>21</v>
      </c>
      <c r="AC13" s="3" t="s">
        <v>34</v>
      </c>
      <c r="AD13" s="3" t="s">
        <v>35</v>
      </c>
    </row>
    <row r="14" spans="1:30" ht="14.1" customHeight="1" x14ac:dyDescent="0.25">
      <c r="A14" s="4">
        <v>4245109750</v>
      </c>
      <c r="B14" s="4">
        <v>4245088512</v>
      </c>
      <c r="C14" s="9">
        <v>45702</v>
      </c>
      <c r="D14" s="12">
        <v>0.37739583333333332</v>
      </c>
      <c r="E14" s="4">
        <v>29</v>
      </c>
      <c r="F14" s="3" t="s">
        <v>19</v>
      </c>
      <c r="G14" s="3" t="s">
        <v>20</v>
      </c>
      <c r="H14" s="3" t="str">
        <f>CONCATENATE(Table278[[#This Row],[TIPO_CDR]]," ",Table278[[#This Row],[TRANSACCION]])</f>
        <v>LLAMADA ENTRANTE</v>
      </c>
      <c r="I14" s="3" t="s">
        <v>61</v>
      </c>
      <c r="J14" s="3" t="s">
        <v>37</v>
      </c>
      <c r="K14" s="3" t="s">
        <v>38</v>
      </c>
      <c r="L14" s="3" t="s">
        <v>61</v>
      </c>
      <c r="M14" s="3" t="s">
        <v>37</v>
      </c>
      <c r="N14" s="3" t="s">
        <v>38</v>
      </c>
      <c r="O14" s="3" t="s">
        <v>24</v>
      </c>
      <c r="P14" s="3" t="s">
        <v>25</v>
      </c>
      <c r="Q14" s="3" t="s">
        <v>40</v>
      </c>
      <c r="R14" s="3" t="s">
        <v>27</v>
      </c>
      <c r="S14" s="3" t="s">
        <v>28</v>
      </c>
      <c r="T14" s="3" t="s">
        <v>40</v>
      </c>
      <c r="U14" s="3" t="s">
        <v>27</v>
      </c>
      <c r="V14" s="3" t="s">
        <v>28</v>
      </c>
      <c r="W14" s="3" t="s">
        <v>41</v>
      </c>
      <c r="X14" s="3" t="s">
        <v>41</v>
      </c>
      <c r="Y14" s="3" t="s">
        <v>21</v>
      </c>
      <c r="Z14" s="3" t="s">
        <v>21</v>
      </c>
      <c r="AA14" s="3" t="s">
        <v>21</v>
      </c>
      <c r="AB14" s="3" t="s">
        <v>21</v>
      </c>
      <c r="AC14" s="3" t="s">
        <v>34</v>
      </c>
      <c r="AD14" s="3" t="s">
        <v>35</v>
      </c>
    </row>
    <row r="15" spans="1:30" ht="14.1" customHeight="1" x14ac:dyDescent="0.25">
      <c r="A15" s="4">
        <v>811</v>
      </c>
      <c r="B15" s="4">
        <v>4245088512</v>
      </c>
      <c r="C15" s="9">
        <v>45667</v>
      </c>
      <c r="D15" s="12">
        <v>0.37598379629629625</v>
      </c>
      <c r="E15" s="4">
        <v>95</v>
      </c>
      <c r="F15" s="3" t="s">
        <v>121</v>
      </c>
      <c r="G15" s="3" t="s">
        <v>20</v>
      </c>
      <c r="H15" s="3" t="str">
        <f>CONCATENATE(Table278[[#This Row],[TIPO_CDR]]," ",Table278[[#This Row],[TRANSACCION]])</f>
        <v>SMS ENTRANTE</v>
      </c>
      <c r="AC15" s="3" t="s">
        <v>122</v>
      </c>
    </row>
    <row r="16" spans="1:30" ht="14.1" customHeight="1" x14ac:dyDescent="0.25">
      <c r="A16" s="4">
        <v>44646</v>
      </c>
      <c r="B16" s="4">
        <v>4245088512</v>
      </c>
      <c r="C16" s="9">
        <v>45670</v>
      </c>
      <c r="D16" s="12">
        <v>0.45902777777777781</v>
      </c>
      <c r="E16" s="4">
        <v>149</v>
      </c>
      <c r="F16" s="3" t="s">
        <v>121</v>
      </c>
      <c r="G16" s="3" t="s">
        <v>20</v>
      </c>
      <c r="H16" s="3" t="str">
        <f>CONCATENATE(Table278[[#This Row],[TIPO_CDR]]," ",Table278[[#This Row],[TRANSACCION]])</f>
        <v>SMS ENTRANTE</v>
      </c>
      <c r="AC16" s="3" t="s">
        <v>127</v>
      </c>
    </row>
    <row r="17" spans="1:29" ht="14.1" customHeight="1" x14ac:dyDescent="0.25">
      <c r="A17" s="4">
        <v>44646</v>
      </c>
      <c r="B17" s="4">
        <v>4245088512</v>
      </c>
      <c r="C17" s="9">
        <v>45670</v>
      </c>
      <c r="D17" s="12">
        <v>0.5427777777777778</v>
      </c>
      <c r="E17" s="4">
        <v>149</v>
      </c>
      <c r="F17" s="3" t="s">
        <v>121</v>
      </c>
      <c r="G17" s="3" t="s">
        <v>20</v>
      </c>
      <c r="H17" s="3" t="str">
        <f>CONCATENATE(Table278[[#This Row],[TIPO_CDR]]," ",Table278[[#This Row],[TRANSACCION]])</f>
        <v>SMS ENTRANTE</v>
      </c>
      <c r="AC17" s="3" t="s">
        <v>127</v>
      </c>
    </row>
    <row r="18" spans="1:29" ht="14.1" customHeight="1" x14ac:dyDescent="0.25">
      <c r="A18" s="4" t="s">
        <v>129</v>
      </c>
      <c r="B18" s="4">
        <v>4245088512</v>
      </c>
      <c r="C18" s="9">
        <v>45670</v>
      </c>
      <c r="D18" s="12">
        <v>0.7512847222222222</v>
      </c>
      <c r="E18" s="4">
        <v>121</v>
      </c>
      <c r="F18" s="3" t="s">
        <v>121</v>
      </c>
      <c r="G18" s="3" t="s">
        <v>20</v>
      </c>
      <c r="H18" s="3" t="str">
        <f>CONCATENATE(Table278[[#This Row],[TIPO_CDR]]," ",Table278[[#This Row],[TRANSACCION]])</f>
        <v>SMS ENTRANTE</v>
      </c>
      <c r="AC18" s="3" t="s">
        <v>122</v>
      </c>
    </row>
    <row r="19" spans="1:29" ht="14.1" customHeight="1" x14ac:dyDescent="0.25">
      <c r="A19" s="4" t="s">
        <v>129</v>
      </c>
      <c r="B19" s="4">
        <v>4245088512</v>
      </c>
      <c r="C19" s="9">
        <v>45672</v>
      </c>
      <c r="D19" s="12">
        <v>0.33471064814814816</v>
      </c>
      <c r="E19" s="4">
        <v>89</v>
      </c>
      <c r="F19" s="3" t="s">
        <v>121</v>
      </c>
      <c r="G19" s="3" t="s">
        <v>20</v>
      </c>
      <c r="H19" s="3" t="str">
        <f>CONCATENATE(Table278[[#This Row],[TIPO_CDR]]," ",Table278[[#This Row],[TRANSACCION]])</f>
        <v>SMS ENTRANTE</v>
      </c>
      <c r="AC19" s="3" t="s">
        <v>122</v>
      </c>
    </row>
    <row r="20" spans="1:29" ht="14.1" customHeight="1" x14ac:dyDescent="0.25">
      <c r="A20" s="4">
        <v>811</v>
      </c>
      <c r="B20" s="4">
        <v>4245088512</v>
      </c>
      <c r="C20" s="9">
        <v>45673</v>
      </c>
      <c r="D20" s="12">
        <v>0.45954861111111112</v>
      </c>
      <c r="E20" s="4">
        <v>96</v>
      </c>
      <c r="F20" s="3" t="s">
        <v>121</v>
      </c>
      <c r="G20" s="3" t="s">
        <v>20</v>
      </c>
      <c r="H20" s="3" t="str">
        <f>CONCATENATE(Table278[[#This Row],[TIPO_CDR]]," ",Table278[[#This Row],[TRANSACCION]])</f>
        <v>SMS ENTRANTE</v>
      </c>
      <c r="AC20" s="3" t="s">
        <v>122</v>
      </c>
    </row>
    <row r="21" spans="1:29" ht="14.1" customHeight="1" x14ac:dyDescent="0.25">
      <c r="A21" s="4" t="s">
        <v>129</v>
      </c>
      <c r="B21" s="4">
        <v>4245088512</v>
      </c>
      <c r="C21" s="9">
        <v>45678</v>
      </c>
      <c r="D21" s="12">
        <v>0.5423958333333333</v>
      </c>
      <c r="E21" s="4">
        <v>89</v>
      </c>
      <c r="F21" s="3" t="s">
        <v>121</v>
      </c>
      <c r="G21" s="3" t="s">
        <v>20</v>
      </c>
      <c r="H21" s="3" t="str">
        <f>CONCATENATE(Table278[[#This Row],[TIPO_CDR]]," ",Table278[[#This Row],[TRANSACCION]])</f>
        <v>SMS ENTRANTE</v>
      </c>
      <c r="AC21" s="3" t="s">
        <v>122</v>
      </c>
    </row>
    <row r="22" spans="1:29" ht="14.1" customHeight="1" x14ac:dyDescent="0.25">
      <c r="A22" s="4">
        <v>811</v>
      </c>
      <c r="B22" s="4">
        <v>4245088512</v>
      </c>
      <c r="C22" s="9">
        <v>45683</v>
      </c>
      <c r="D22" s="12">
        <v>0.41769675925925925</v>
      </c>
      <c r="E22" s="4">
        <v>123</v>
      </c>
      <c r="F22" s="3" t="s">
        <v>121</v>
      </c>
      <c r="G22" s="3" t="s">
        <v>20</v>
      </c>
      <c r="H22" s="3" t="str">
        <f>CONCATENATE(Table278[[#This Row],[TIPO_CDR]]," ",Table278[[#This Row],[TRANSACCION]])</f>
        <v>SMS ENTRANTE</v>
      </c>
      <c r="AC22" s="3" t="s">
        <v>122</v>
      </c>
    </row>
    <row r="23" spans="1:29" ht="14.1" customHeight="1" x14ac:dyDescent="0.25">
      <c r="A23" s="4" t="s">
        <v>129</v>
      </c>
      <c r="B23" s="4">
        <v>4245088512</v>
      </c>
      <c r="C23" s="9">
        <v>45688</v>
      </c>
      <c r="D23" s="12">
        <v>0.33422453703703708</v>
      </c>
      <c r="E23" s="4">
        <v>124</v>
      </c>
      <c r="F23" s="3" t="s">
        <v>121</v>
      </c>
      <c r="G23" s="3" t="s">
        <v>20</v>
      </c>
      <c r="H23" s="3" t="str">
        <f>CONCATENATE(Table278[[#This Row],[TIPO_CDR]]," ",Table278[[#This Row],[TRANSACCION]])</f>
        <v>SMS ENTRANTE</v>
      </c>
      <c r="AC23" s="3" t="s">
        <v>122</v>
      </c>
    </row>
    <row r="24" spans="1:29" ht="14.1" customHeight="1" x14ac:dyDescent="0.25">
      <c r="A24" s="4">
        <v>4125141860</v>
      </c>
      <c r="B24" s="4">
        <v>4245088512</v>
      </c>
      <c r="C24" s="9">
        <v>45688</v>
      </c>
      <c r="D24" s="12">
        <v>0.45906249999999998</v>
      </c>
      <c r="E24" s="4">
        <v>153</v>
      </c>
      <c r="F24" s="3" t="s">
        <v>121</v>
      </c>
      <c r="G24" s="3" t="s">
        <v>20</v>
      </c>
      <c r="H24" s="3" t="str">
        <f>CONCATENATE(Table278[[#This Row],[TIPO_CDR]]," ",Table278[[#This Row],[TRANSACCION]])</f>
        <v>SMS ENTRANTE</v>
      </c>
      <c r="AC24" s="3" t="s">
        <v>29</v>
      </c>
    </row>
    <row r="25" spans="1:29" ht="14.1" customHeight="1" x14ac:dyDescent="0.25">
      <c r="A25" s="4">
        <v>4125141860</v>
      </c>
      <c r="B25" s="4">
        <v>4245088512</v>
      </c>
      <c r="C25" s="9">
        <v>45688</v>
      </c>
      <c r="D25" s="12">
        <v>0.45907407407407402</v>
      </c>
      <c r="E25" s="4">
        <v>110</v>
      </c>
      <c r="F25" s="3" t="s">
        <v>121</v>
      </c>
      <c r="G25" s="3" t="s">
        <v>20</v>
      </c>
      <c r="H25" s="3" t="str">
        <f>CONCATENATE(Table278[[#This Row],[TIPO_CDR]]," ",Table278[[#This Row],[TRANSACCION]])</f>
        <v>SMS ENTRANTE</v>
      </c>
      <c r="AC25" s="3" t="s">
        <v>29</v>
      </c>
    </row>
    <row r="26" spans="1:29" ht="14.1" customHeight="1" x14ac:dyDescent="0.25">
      <c r="A26" s="4">
        <v>811</v>
      </c>
      <c r="B26" s="4">
        <v>4245088512</v>
      </c>
      <c r="C26" s="9">
        <v>45693</v>
      </c>
      <c r="D26" s="12">
        <v>0.4183912037037037</v>
      </c>
      <c r="E26" s="4">
        <v>108</v>
      </c>
      <c r="F26" s="3" t="s">
        <v>121</v>
      </c>
      <c r="G26" s="3" t="s">
        <v>20</v>
      </c>
      <c r="H26" s="3" t="str">
        <f>CONCATENATE(Table278[[#This Row],[TIPO_CDR]]," ",Table278[[#This Row],[TRANSACCION]])</f>
        <v>SMS ENTRANTE</v>
      </c>
      <c r="AC26" s="3" t="s">
        <v>122</v>
      </c>
    </row>
    <row r="27" spans="1:29" ht="14.1" customHeight="1" x14ac:dyDescent="0.25">
      <c r="A27" s="4">
        <v>4262876159</v>
      </c>
      <c r="B27" s="4">
        <v>4245088512</v>
      </c>
      <c r="C27" s="9">
        <v>45696</v>
      </c>
      <c r="D27" s="12">
        <v>0.29315972222222225</v>
      </c>
      <c r="E27" s="4">
        <v>150</v>
      </c>
      <c r="F27" s="3" t="s">
        <v>121</v>
      </c>
      <c r="G27" s="3" t="s">
        <v>20</v>
      </c>
      <c r="H27" s="3" t="str">
        <f>CONCATENATE(Table278[[#This Row],[TIPO_CDR]]," ",Table278[[#This Row],[TRANSACCION]])</f>
        <v>SMS ENTRANTE</v>
      </c>
      <c r="AC27" s="3" t="s">
        <v>158</v>
      </c>
    </row>
    <row r="28" spans="1:29" ht="14.1" customHeight="1" x14ac:dyDescent="0.25">
      <c r="A28" s="4" t="s">
        <v>159</v>
      </c>
      <c r="B28" s="4">
        <v>4245088512</v>
      </c>
      <c r="C28" s="9">
        <v>45697</v>
      </c>
      <c r="D28" s="12">
        <v>0.37663194444444442</v>
      </c>
      <c r="E28" s="4">
        <v>116</v>
      </c>
      <c r="F28" s="3" t="s">
        <v>121</v>
      </c>
      <c r="G28" s="3" t="s">
        <v>20</v>
      </c>
      <c r="H28" s="3" t="str">
        <f>CONCATENATE(Table278[[#This Row],[TIPO_CDR]]," ",Table278[[#This Row],[TRANSACCION]])</f>
        <v>SMS ENTRANTE</v>
      </c>
      <c r="AC28" s="3" t="s">
        <v>122</v>
      </c>
    </row>
    <row r="29" spans="1:29" ht="14.1" customHeight="1" x14ac:dyDescent="0.25">
      <c r="A29" s="4" t="s">
        <v>129</v>
      </c>
      <c r="B29" s="4">
        <v>4245088512</v>
      </c>
      <c r="C29" s="9">
        <v>45700</v>
      </c>
      <c r="D29" s="12">
        <v>0.33519675925925929</v>
      </c>
      <c r="E29" s="4">
        <v>121</v>
      </c>
      <c r="F29" s="3" t="s">
        <v>121</v>
      </c>
      <c r="G29" s="3" t="s">
        <v>20</v>
      </c>
      <c r="H29" s="3" t="str">
        <f>CONCATENATE(Table278[[#This Row],[TIPO_CDR]]," ",Table278[[#This Row],[TRANSACCION]])</f>
        <v>SMS ENTRANTE</v>
      </c>
      <c r="AC29" s="3" t="s">
        <v>122</v>
      </c>
    </row>
    <row r="30" spans="1:29" ht="14.1" customHeight="1" x14ac:dyDescent="0.25">
      <c r="A30" s="4">
        <v>811</v>
      </c>
      <c r="B30" s="4">
        <v>4245088512</v>
      </c>
      <c r="C30" s="9">
        <v>45706</v>
      </c>
      <c r="D30" s="12">
        <v>0.46012731481481484</v>
      </c>
      <c r="E30" s="4">
        <v>101</v>
      </c>
      <c r="F30" s="3" t="s">
        <v>121</v>
      </c>
      <c r="G30" s="3" t="s">
        <v>20</v>
      </c>
      <c r="H30" s="3" t="str">
        <f>CONCATENATE(Table278[[#This Row],[TIPO_CDR]]," ",Table278[[#This Row],[TRANSACCION]])</f>
        <v>SMS ENTRANTE</v>
      </c>
      <c r="AC30" s="3" t="s">
        <v>122</v>
      </c>
    </row>
    <row r="31" spans="1:29" ht="14.1" customHeight="1" x14ac:dyDescent="0.25">
      <c r="A31" s="4">
        <v>811</v>
      </c>
      <c r="B31" s="4">
        <v>4245088512</v>
      </c>
      <c r="C31" s="9">
        <v>45713</v>
      </c>
      <c r="D31" s="12">
        <v>0.33539351851851856</v>
      </c>
      <c r="E31" s="4">
        <v>115</v>
      </c>
      <c r="F31" s="3" t="s">
        <v>121</v>
      </c>
      <c r="G31" s="3" t="s">
        <v>20</v>
      </c>
      <c r="H31" s="3" t="str">
        <f>CONCATENATE(Table278[[#This Row],[TIPO_CDR]]," ",Table278[[#This Row],[TRANSACCION]])</f>
        <v>SMS ENTRANTE</v>
      </c>
      <c r="AC31" s="3" t="s">
        <v>122</v>
      </c>
    </row>
    <row r="32" spans="1:29" ht="14.1" customHeight="1" x14ac:dyDescent="0.25">
      <c r="A32" s="4" t="s">
        <v>129</v>
      </c>
      <c r="B32" s="4">
        <v>4245088512</v>
      </c>
      <c r="C32" s="9">
        <v>45716</v>
      </c>
      <c r="D32" s="12">
        <v>0.37695601851851851</v>
      </c>
      <c r="E32" s="4">
        <v>102</v>
      </c>
      <c r="F32" s="3" t="s">
        <v>121</v>
      </c>
      <c r="G32" s="3" t="s">
        <v>20</v>
      </c>
      <c r="H32" s="3" t="str">
        <f>CONCATENATE(Table278[[#This Row],[TIPO_CDR]]," ",Table278[[#This Row],[TRANSACCION]])</f>
        <v>SMS ENTRANTE</v>
      </c>
      <c r="AC32" s="3" t="s">
        <v>122</v>
      </c>
    </row>
    <row r="33" spans="1:29" ht="14.1" customHeight="1" x14ac:dyDescent="0.25">
      <c r="A33" s="4" t="s">
        <v>129</v>
      </c>
      <c r="B33" s="4">
        <v>4245088512</v>
      </c>
      <c r="C33" s="9">
        <v>45716</v>
      </c>
      <c r="D33" s="12">
        <v>0.58474537037037033</v>
      </c>
      <c r="E33" s="4">
        <v>125</v>
      </c>
      <c r="F33" s="3" t="s">
        <v>121</v>
      </c>
      <c r="G33" s="3" t="s">
        <v>20</v>
      </c>
      <c r="H33" s="3" t="str">
        <f>CONCATENATE(Table278[[#This Row],[TIPO_CDR]]," ",Table278[[#This Row],[TRANSACCION]])</f>
        <v>SMS ENTRANTE</v>
      </c>
      <c r="AC33" s="3" t="s">
        <v>122</v>
      </c>
    </row>
    <row r="34" spans="1:29" ht="14.1" customHeight="1" x14ac:dyDescent="0.25">
      <c r="A34" s="4">
        <v>811</v>
      </c>
      <c r="B34" s="4">
        <v>4245088512</v>
      </c>
      <c r="C34" s="9">
        <v>45727</v>
      </c>
      <c r="D34" s="12">
        <v>0.33608796296296295</v>
      </c>
      <c r="E34" s="4">
        <v>127</v>
      </c>
      <c r="F34" s="3" t="s">
        <v>121</v>
      </c>
      <c r="G34" s="3" t="s">
        <v>20</v>
      </c>
      <c r="H34" s="3" t="str">
        <f>CONCATENATE(Table278[[#This Row],[TIPO_CDR]]," ",Table278[[#This Row],[TRANSACCION]])</f>
        <v>SMS ENTRANTE</v>
      </c>
      <c r="AC34" s="3" t="s">
        <v>122</v>
      </c>
    </row>
    <row r="35" spans="1:29" ht="14.1" customHeight="1" x14ac:dyDescent="0.25">
      <c r="A35" s="4">
        <v>811</v>
      </c>
      <c r="B35" s="4">
        <v>4245088512</v>
      </c>
      <c r="C35" s="9">
        <v>45728</v>
      </c>
      <c r="D35" s="12">
        <v>0.41884259259259254</v>
      </c>
      <c r="E35" s="4">
        <v>69</v>
      </c>
      <c r="F35" s="3" t="s">
        <v>121</v>
      </c>
      <c r="G35" s="3" t="s">
        <v>20</v>
      </c>
      <c r="H35" s="3" t="str">
        <f>CONCATENATE(Table278[[#This Row],[TIPO_CDR]]," ",Table278[[#This Row],[TRANSACCION]])</f>
        <v>SMS ENTRANTE</v>
      </c>
      <c r="AC35" s="3" t="s">
        <v>122</v>
      </c>
    </row>
    <row r="36" spans="1:29" ht="14.1" customHeight="1" x14ac:dyDescent="0.25">
      <c r="A36" s="4" t="s">
        <v>129</v>
      </c>
      <c r="B36" s="4">
        <v>4245088512</v>
      </c>
      <c r="C36" s="9">
        <v>45728</v>
      </c>
      <c r="D36" s="12">
        <v>0.46104166666666663</v>
      </c>
      <c r="E36" s="4">
        <v>105</v>
      </c>
      <c r="F36" s="3" t="s">
        <v>121</v>
      </c>
      <c r="G36" s="3" t="s">
        <v>20</v>
      </c>
      <c r="H36" s="3" t="str">
        <f>CONCATENATE(Table278[[#This Row],[TIPO_CDR]]," ",Table278[[#This Row],[TRANSACCION]])</f>
        <v>SMS ENTRANTE</v>
      </c>
      <c r="AC36" s="3" t="s">
        <v>122</v>
      </c>
    </row>
    <row r="37" spans="1:29" ht="14.1" customHeight="1" x14ac:dyDescent="0.25">
      <c r="A37" s="4">
        <v>44646</v>
      </c>
      <c r="B37" s="4">
        <v>4245088512</v>
      </c>
      <c r="C37" s="9">
        <v>45732</v>
      </c>
      <c r="D37" s="12">
        <v>0.50250000000000006</v>
      </c>
      <c r="E37" s="4">
        <v>59</v>
      </c>
      <c r="F37" s="3" t="s">
        <v>121</v>
      </c>
      <c r="G37" s="3" t="s">
        <v>20</v>
      </c>
      <c r="H37" s="3" t="str">
        <f>CONCATENATE(Table278[[#This Row],[TIPO_CDR]]," ",Table278[[#This Row],[TRANSACCION]])</f>
        <v>SMS ENTRANTE</v>
      </c>
      <c r="AC37" s="3" t="s">
        <v>127</v>
      </c>
    </row>
    <row r="38" spans="1:29" ht="14.1" customHeight="1" x14ac:dyDescent="0.25">
      <c r="A38" s="4">
        <v>44646</v>
      </c>
      <c r="B38" s="4">
        <v>4245088512</v>
      </c>
      <c r="C38" s="9">
        <v>45732</v>
      </c>
      <c r="D38" s="12">
        <v>0.50237268518518519</v>
      </c>
      <c r="E38" s="4">
        <v>81</v>
      </c>
      <c r="F38" s="3" t="s">
        <v>121</v>
      </c>
      <c r="G38" s="3" t="s">
        <v>20</v>
      </c>
      <c r="H38" s="3" t="str">
        <f>CONCATENATE(Table278[[#This Row],[TIPO_CDR]]," ",Table278[[#This Row],[TRANSACCION]])</f>
        <v>SMS ENTRANTE</v>
      </c>
      <c r="AC38" s="3" t="s">
        <v>127</v>
      </c>
    </row>
    <row r="39" spans="1:29" ht="14.1" customHeight="1" x14ac:dyDescent="0.25">
      <c r="A39" s="4" t="s">
        <v>129</v>
      </c>
      <c r="B39" s="4">
        <v>4245088512</v>
      </c>
      <c r="C39" s="9">
        <v>45744</v>
      </c>
      <c r="D39" s="12">
        <v>0.37763888888888886</v>
      </c>
      <c r="E39" s="4">
        <v>121</v>
      </c>
      <c r="F39" s="3" t="s">
        <v>121</v>
      </c>
      <c r="G39" s="3" t="s">
        <v>20</v>
      </c>
      <c r="H39" s="3" t="str">
        <f>CONCATENATE(Table278[[#This Row],[TIPO_CDR]]," ",Table278[[#This Row],[TRANSACCION]])</f>
        <v>SMS ENTRANTE</v>
      </c>
      <c r="AC39" s="3" t="s">
        <v>122</v>
      </c>
    </row>
    <row r="40" spans="1:29" ht="14.1" customHeight="1" x14ac:dyDescent="0.25">
      <c r="A40" s="4">
        <v>811</v>
      </c>
      <c r="B40" s="4">
        <v>4245088512</v>
      </c>
      <c r="C40" s="9">
        <v>45746</v>
      </c>
      <c r="D40" s="12">
        <v>0.50256944444444451</v>
      </c>
      <c r="E40" s="4">
        <v>69</v>
      </c>
      <c r="F40" s="3" t="s">
        <v>121</v>
      </c>
      <c r="G40" s="3" t="s">
        <v>20</v>
      </c>
      <c r="H40" s="3" t="str">
        <f>CONCATENATE(Table278[[#This Row],[TIPO_CDR]]," ",Table278[[#This Row],[TRANSACCION]])</f>
        <v>SMS ENTRANTE</v>
      </c>
      <c r="AC40" s="3" t="s">
        <v>122</v>
      </c>
    </row>
    <row r="41" spans="1:29" ht="14.1" customHeight="1" x14ac:dyDescent="0.25">
      <c r="A41" s="4" t="s">
        <v>129</v>
      </c>
      <c r="B41" s="4">
        <v>4245088512</v>
      </c>
      <c r="C41" s="9">
        <v>45747</v>
      </c>
      <c r="D41" s="12">
        <v>0.41898148148148145</v>
      </c>
      <c r="E41" s="4">
        <v>123</v>
      </c>
      <c r="F41" s="3" t="s">
        <v>121</v>
      </c>
      <c r="G41" s="3" t="s">
        <v>20</v>
      </c>
      <c r="H41" s="3" t="str">
        <f>CONCATENATE(Table278[[#This Row],[TIPO_CDR]]," ",Table278[[#This Row],[TRANSACCION]])</f>
        <v>SMS ENTRANTE</v>
      </c>
      <c r="AC41" s="3" t="s">
        <v>122</v>
      </c>
    </row>
    <row r="42" spans="1:29" ht="14.1" customHeight="1" x14ac:dyDescent="0.25">
      <c r="A42" s="4">
        <v>4262876159</v>
      </c>
      <c r="B42" s="4">
        <v>4245088512</v>
      </c>
      <c r="C42" s="9">
        <v>45752</v>
      </c>
      <c r="D42" s="12">
        <v>0.50296296296296295</v>
      </c>
      <c r="E42" s="4">
        <v>153</v>
      </c>
      <c r="F42" s="3" t="s">
        <v>121</v>
      </c>
      <c r="G42" s="3" t="s">
        <v>20</v>
      </c>
      <c r="H42" s="3" t="str">
        <f>CONCATENATE(Table278[[#This Row],[TIPO_CDR]]," ",Table278[[#This Row],[TRANSACCION]])</f>
        <v>SMS ENTRANTE</v>
      </c>
      <c r="AC42" s="3" t="s">
        <v>158</v>
      </c>
    </row>
    <row r="43" spans="1:29" ht="14.1" customHeight="1" x14ac:dyDescent="0.25">
      <c r="A43" s="4">
        <v>4262876159</v>
      </c>
      <c r="B43" s="4">
        <v>4245088512</v>
      </c>
      <c r="C43" s="9">
        <v>45752</v>
      </c>
      <c r="D43" s="12">
        <v>0.50299768518518517</v>
      </c>
      <c r="E43" s="4">
        <v>143</v>
      </c>
      <c r="F43" s="3" t="s">
        <v>121</v>
      </c>
      <c r="G43" s="3" t="s">
        <v>20</v>
      </c>
      <c r="H43" s="3" t="str">
        <f>CONCATENATE(Table278[[#This Row],[TIPO_CDR]]," ",Table278[[#This Row],[TRANSACCION]])</f>
        <v>SMS ENTRANTE</v>
      </c>
      <c r="AC43" s="3" t="s">
        <v>158</v>
      </c>
    </row>
    <row r="44" spans="1:29" ht="14.1" customHeight="1" x14ac:dyDescent="0.25">
      <c r="A44" s="4">
        <v>811</v>
      </c>
      <c r="B44" s="4">
        <v>4245088512</v>
      </c>
      <c r="C44" s="9">
        <v>45753</v>
      </c>
      <c r="D44" s="12">
        <v>0.50296296296296295</v>
      </c>
      <c r="E44" s="4">
        <v>69</v>
      </c>
      <c r="F44" s="3" t="s">
        <v>121</v>
      </c>
      <c r="G44" s="3" t="s">
        <v>20</v>
      </c>
      <c r="H44" s="3" t="str">
        <f>CONCATENATE(Table278[[#This Row],[TIPO_CDR]]," ",Table278[[#This Row],[TRANSACCION]])</f>
        <v>SMS ENTRANTE</v>
      </c>
      <c r="AC44" s="3" t="s">
        <v>122</v>
      </c>
    </row>
    <row r="45" spans="1:29" ht="14.1" customHeight="1" x14ac:dyDescent="0.25">
      <c r="A45" s="4">
        <v>811</v>
      </c>
      <c r="B45" s="4">
        <v>4245088512</v>
      </c>
      <c r="C45" s="9">
        <v>45758</v>
      </c>
      <c r="D45" s="12">
        <v>0.33671296296296299</v>
      </c>
      <c r="E45" s="4">
        <v>127</v>
      </c>
      <c r="F45" s="3" t="s">
        <v>121</v>
      </c>
      <c r="G45" s="3" t="s">
        <v>20</v>
      </c>
      <c r="H45" s="3" t="str">
        <f>CONCATENATE(Table278[[#This Row],[TIPO_CDR]]," ",Table278[[#This Row],[TRANSACCION]])</f>
        <v>SMS ENTRANTE</v>
      </c>
      <c r="AC45" s="3" t="s">
        <v>122</v>
      </c>
    </row>
    <row r="46" spans="1:29" ht="14.1" customHeight="1" x14ac:dyDescent="0.25">
      <c r="A46" s="4" t="s">
        <v>129</v>
      </c>
      <c r="B46" s="4">
        <v>4245088512</v>
      </c>
      <c r="C46" s="9">
        <v>45761</v>
      </c>
      <c r="D46" s="12">
        <v>0.46151620370370372</v>
      </c>
      <c r="E46" s="4">
        <v>128</v>
      </c>
      <c r="F46" s="3" t="s">
        <v>121</v>
      </c>
      <c r="G46" s="3" t="s">
        <v>20</v>
      </c>
      <c r="H46" s="3" t="str">
        <f>CONCATENATE(Table278[[#This Row],[TIPO_CDR]]," ",Table278[[#This Row],[TRANSACCION]])</f>
        <v>SMS ENTRANTE</v>
      </c>
      <c r="AC46" s="3" t="s">
        <v>122</v>
      </c>
    </row>
    <row r="47" spans="1:29" ht="14.1" customHeight="1" x14ac:dyDescent="0.25">
      <c r="A47" s="4">
        <v>811</v>
      </c>
      <c r="B47" s="4">
        <v>4245088512</v>
      </c>
      <c r="C47" s="9">
        <v>45763</v>
      </c>
      <c r="D47" s="12">
        <v>0.41996527777777781</v>
      </c>
      <c r="E47" s="4">
        <v>97</v>
      </c>
      <c r="F47" s="3" t="s">
        <v>121</v>
      </c>
      <c r="G47" s="3" t="s">
        <v>20</v>
      </c>
      <c r="H47" s="3" t="str">
        <f>CONCATENATE(Table278[[#This Row],[TIPO_CDR]]," ",Table278[[#This Row],[TRANSACCION]])</f>
        <v>SMS ENTRANTE</v>
      </c>
      <c r="AC47" s="3" t="s">
        <v>122</v>
      </c>
    </row>
    <row r="48" spans="1:29" ht="14.1" customHeight="1" x14ac:dyDescent="0.25">
      <c r="A48" s="4" t="s">
        <v>129</v>
      </c>
      <c r="B48" s="4">
        <v>4245088512</v>
      </c>
      <c r="C48" s="9">
        <v>45777</v>
      </c>
      <c r="D48" s="12">
        <v>0.33628472222222222</v>
      </c>
      <c r="E48" s="4">
        <v>124</v>
      </c>
      <c r="F48" s="3" t="s">
        <v>121</v>
      </c>
      <c r="G48" s="3" t="s">
        <v>20</v>
      </c>
      <c r="H48" s="3" t="str">
        <f>CONCATENATE(Table278[[#This Row],[TIPO_CDR]]," ",Table278[[#This Row],[TRANSACCION]])</f>
        <v>SMS ENTRANTE</v>
      </c>
      <c r="AC48" s="3" t="s">
        <v>122</v>
      </c>
    </row>
    <row r="49" spans="1:29" ht="14.1" customHeight="1" x14ac:dyDescent="0.25">
      <c r="A49" s="4">
        <v>4125141860</v>
      </c>
      <c r="B49" s="4">
        <v>4245088512</v>
      </c>
      <c r="C49" s="9">
        <v>45778</v>
      </c>
      <c r="D49" s="12">
        <v>0.37861111111111106</v>
      </c>
      <c r="E49" s="4">
        <v>153</v>
      </c>
      <c r="F49" s="3" t="s">
        <v>121</v>
      </c>
      <c r="G49" s="3" t="s">
        <v>20</v>
      </c>
      <c r="H49" s="3" t="str">
        <f>CONCATENATE(Table278[[#This Row],[TIPO_CDR]]," ",Table278[[#This Row],[TRANSACCION]])</f>
        <v>SMS ENTRANTE</v>
      </c>
      <c r="AC49" s="3" t="s">
        <v>29</v>
      </c>
    </row>
    <row r="50" spans="1:29" ht="14.1" customHeight="1" x14ac:dyDescent="0.25">
      <c r="A50" s="4">
        <v>4125141860</v>
      </c>
      <c r="B50" s="4">
        <v>4245088512</v>
      </c>
      <c r="C50" s="9">
        <v>45778</v>
      </c>
      <c r="D50" s="12">
        <v>0.37863425925925925</v>
      </c>
      <c r="E50" s="4">
        <v>143</v>
      </c>
      <c r="F50" s="3" t="s">
        <v>121</v>
      </c>
      <c r="G50" s="3" t="s">
        <v>20</v>
      </c>
      <c r="H50" s="3" t="str">
        <f>CONCATENATE(Table278[[#This Row],[TIPO_CDR]]," ",Table278[[#This Row],[TRANSACCION]])</f>
        <v>SMS ENTRANTE</v>
      </c>
      <c r="AC50" s="3" t="s">
        <v>29</v>
      </c>
    </row>
    <row r="51" spans="1:29" ht="14.1" customHeight="1" x14ac:dyDescent="0.25">
      <c r="A51" s="4">
        <v>4123503806</v>
      </c>
      <c r="B51" s="4">
        <v>4245088512</v>
      </c>
      <c r="C51" s="9">
        <v>45780</v>
      </c>
      <c r="D51" s="12">
        <v>0.6287152777777778</v>
      </c>
      <c r="E51" s="4">
        <v>153</v>
      </c>
      <c r="F51" s="3" t="s">
        <v>121</v>
      </c>
      <c r="G51" s="3" t="s">
        <v>20</v>
      </c>
      <c r="H51" s="3" t="str">
        <f>CONCATENATE(Table278[[#This Row],[TIPO_CDR]]," ",Table278[[#This Row],[TRANSACCION]])</f>
        <v>SMS ENTRANTE</v>
      </c>
      <c r="AC51" s="3" t="s">
        <v>29</v>
      </c>
    </row>
    <row r="52" spans="1:29" ht="14.1" customHeight="1" x14ac:dyDescent="0.25">
      <c r="A52" s="4">
        <v>4123503806</v>
      </c>
      <c r="B52" s="4">
        <v>4245088512</v>
      </c>
      <c r="C52" s="9">
        <v>45780</v>
      </c>
      <c r="D52" s="12">
        <v>0.62873842592592599</v>
      </c>
      <c r="E52" s="4">
        <v>61</v>
      </c>
      <c r="F52" s="3" t="s">
        <v>121</v>
      </c>
      <c r="G52" s="3" t="s">
        <v>20</v>
      </c>
      <c r="H52" s="3" t="str">
        <f>CONCATENATE(Table278[[#This Row],[TIPO_CDR]]," ",Table278[[#This Row],[TRANSACCION]])</f>
        <v>SMS ENTRANTE</v>
      </c>
      <c r="AC52" s="3" t="s">
        <v>29</v>
      </c>
    </row>
    <row r="53" spans="1:29" ht="14.1" customHeight="1" x14ac:dyDescent="0.25">
      <c r="A53" s="4">
        <v>2467</v>
      </c>
      <c r="B53" s="4">
        <v>4245088512</v>
      </c>
      <c r="C53" s="9">
        <v>45805</v>
      </c>
      <c r="D53" s="12">
        <v>0.50402777777777774</v>
      </c>
      <c r="E53" s="4">
        <v>154</v>
      </c>
      <c r="F53" s="3" t="s">
        <v>121</v>
      </c>
      <c r="G53" s="3" t="s">
        <v>20</v>
      </c>
      <c r="H53" s="3" t="str">
        <f>CONCATENATE(Table278[[#This Row],[TIPO_CDR]]," ",Table278[[#This Row],[TRANSACCION]])</f>
        <v>SMS ENTRANTE</v>
      </c>
      <c r="AC53" s="3" t="s">
        <v>220</v>
      </c>
    </row>
    <row r="54" spans="1:29" ht="14.1" customHeight="1" x14ac:dyDescent="0.25">
      <c r="A54" s="4" t="s">
        <v>129</v>
      </c>
      <c r="B54" s="4">
        <v>4245088512</v>
      </c>
      <c r="C54" s="9">
        <v>45805</v>
      </c>
      <c r="D54" s="12">
        <v>0.58717592592592593</v>
      </c>
      <c r="E54" s="4">
        <v>120</v>
      </c>
      <c r="F54" s="3" t="s">
        <v>121</v>
      </c>
      <c r="G54" s="3" t="s">
        <v>20</v>
      </c>
      <c r="H54" s="3" t="str">
        <f>CONCATENATE(Table278[[#This Row],[TIPO_CDR]]," ",Table278[[#This Row],[TRANSACCION]])</f>
        <v>SMS ENTRANTE</v>
      </c>
      <c r="AC54" s="3" t="s">
        <v>122</v>
      </c>
    </row>
    <row r="55" spans="1:29" ht="14.1" customHeight="1" x14ac:dyDescent="0.25">
      <c r="A55" s="4">
        <v>4122200255</v>
      </c>
      <c r="B55" s="4">
        <v>4245088512</v>
      </c>
      <c r="C55" s="9">
        <v>45812</v>
      </c>
      <c r="D55" s="12">
        <v>0.37921296296296297</v>
      </c>
      <c r="E55" s="4">
        <v>148</v>
      </c>
      <c r="F55" s="3" t="s">
        <v>121</v>
      </c>
      <c r="G55" s="3" t="s">
        <v>20</v>
      </c>
      <c r="H55" s="3" t="str">
        <f>CONCATENATE(Table278[[#This Row],[TIPO_CDR]]," ",Table278[[#This Row],[TRANSACCION]])</f>
        <v>SMS ENTRANTE</v>
      </c>
      <c r="AC55" s="3" t="s">
        <v>29</v>
      </c>
    </row>
    <row r="56" spans="1:29" ht="14.1" customHeight="1" x14ac:dyDescent="0.25">
      <c r="A56" s="4" t="s">
        <v>129</v>
      </c>
      <c r="B56" s="4">
        <v>4245088512</v>
      </c>
      <c r="C56" s="9">
        <v>45814</v>
      </c>
      <c r="D56" s="12">
        <v>0.4626736111111111</v>
      </c>
      <c r="E56" s="4">
        <v>124</v>
      </c>
      <c r="F56" s="3" t="s">
        <v>121</v>
      </c>
      <c r="G56" s="3" t="s">
        <v>20</v>
      </c>
      <c r="H56" s="3" t="str">
        <f>CONCATENATE(Table278[[#This Row],[TIPO_CDR]]," ",Table278[[#This Row],[TRANSACCION]])</f>
        <v>SMS ENTRANTE</v>
      </c>
      <c r="AC56" s="3" t="s">
        <v>122</v>
      </c>
    </row>
    <row r="57" spans="1:29" ht="14.1" customHeight="1" x14ac:dyDescent="0.25">
      <c r="A57" s="4">
        <v>4265730506</v>
      </c>
      <c r="B57" s="4">
        <v>4245088512</v>
      </c>
      <c r="C57" s="9">
        <v>45931</v>
      </c>
      <c r="D57" s="12">
        <v>0.46546296296296297</v>
      </c>
      <c r="E57" s="4">
        <v>153</v>
      </c>
      <c r="F57" s="3" t="s">
        <v>121</v>
      </c>
      <c r="G57" s="3" t="s">
        <v>20</v>
      </c>
      <c r="H57" s="3" t="str">
        <f>CONCATENATE(Table278[[#This Row],[TIPO_CDR]]," ",Table278[[#This Row],[TRANSACCION]])</f>
        <v>SMS ENTRANTE</v>
      </c>
      <c r="AC57" s="3" t="s">
        <v>158</v>
      </c>
    </row>
    <row r="58" spans="1:29" ht="14.1" customHeight="1" x14ac:dyDescent="0.25">
      <c r="A58" s="4">
        <v>4265730506</v>
      </c>
      <c r="B58" s="4">
        <v>4245088512</v>
      </c>
      <c r="C58" s="9">
        <v>45931</v>
      </c>
      <c r="D58" s="12">
        <v>0.4654861111111111</v>
      </c>
      <c r="E58" s="4">
        <v>119</v>
      </c>
      <c r="F58" s="3" t="s">
        <v>121</v>
      </c>
      <c r="G58" s="3" t="s">
        <v>20</v>
      </c>
      <c r="H58" s="3" t="str">
        <f>CONCATENATE(Table278[[#This Row],[TIPO_CDR]]," ",Table278[[#This Row],[TRANSACCION]])</f>
        <v>SMS ENTRANTE</v>
      </c>
      <c r="AC58" s="3" t="s">
        <v>158</v>
      </c>
    </row>
    <row r="59" spans="1:29" ht="14.1" customHeight="1" x14ac:dyDescent="0.25">
      <c r="A59" s="4">
        <v>2467</v>
      </c>
      <c r="B59" s="4">
        <v>4245088512</v>
      </c>
      <c r="C59" s="9">
        <v>45959</v>
      </c>
      <c r="D59" s="12">
        <v>0.42418981481481483</v>
      </c>
      <c r="E59" s="4">
        <v>133</v>
      </c>
      <c r="F59" s="3" t="s">
        <v>121</v>
      </c>
      <c r="G59" s="3" t="s">
        <v>20</v>
      </c>
      <c r="H59" s="3" t="str">
        <f>CONCATENATE(Table278[[#This Row],[TIPO_CDR]]," ",Table278[[#This Row],[TRANSACCION]])</f>
        <v>SMS ENTRANTE</v>
      </c>
      <c r="AC59" s="3" t="s">
        <v>220</v>
      </c>
    </row>
    <row r="60" spans="1:29" ht="14.1" customHeight="1" x14ac:dyDescent="0.25">
      <c r="A60" s="4">
        <v>4125141860</v>
      </c>
      <c r="B60" s="4">
        <v>4245088512</v>
      </c>
      <c r="C60" s="9">
        <v>45992</v>
      </c>
      <c r="D60" s="12">
        <v>0.50885416666666672</v>
      </c>
      <c r="E60" s="4">
        <v>153</v>
      </c>
      <c r="F60" s="3" t="s">
        <v>121</v>
      </c>
      <c r="G60" s="3" t="s">
        <v>20</v>
      </c>
      <c r="H60" s="3" t="str">
        <f>CONCATENATE(Table278[[#This Row],[TIPO_CDR]]," ",Table278[[#This Row],[TRANSACCION]])</f>
        <v>SMS ENTRANTE</v>
      </c>
      <c r="AC60" s="3" t="s">
        <v>29</v>
      </c>
    </row>
    <row r="61" spans="1:29" ht="14.1" customHeight="1" x14ac:dyDescent="0.25">
      <c r="A61" s="4">
        <v>4125141860</v>
      </c>
      <c r="B61" s="4">
        <v>4245088512</v>
      </c>
      <c r="C61" s="9">
        <v>45992</v>
      </c>
      <c r="D61" s="12">
        <v>0.5088773148148148</v>
      </c>
      <c r="E61" s="4">
        <v>96</v>
      </c>
      <c r="F61" s="3" t="s">
        <v>121</v>
      </c>
      <c r="G61" s="3" t="s">
        <v>20</v>
      </c>
      <c r="H61" s="3" t="str">
        <f>CONCATENATE(Table278[[#This Row],[TIPO_CDR]]," ",Table278[[#This Row],[TRANSACCION]])</f>
        <v>SMS ENTRANTE</v>
      </c>
      <c r="AC61" s="3" t="s">
        <v>29</v>
      </c>
    </row>
    <row r="62" spans="1:29" ht="14.1" customHeight="1" x14ac:dyDescent="0.25">
      <c r="A62" s="4">
        <v>4122200255</v>
      </c>
      <c r="B62" s="4">
        <v>4245088512</v>
      </c>
      <c r="C62" s="9">
        <v>45994</v>
      </c>
      <c r="D62" s="12">
        <v>0.46681712962962968</v>
      </c>
      <c r="E62" s="4">
        <v>153</v>
      </c>
      <c r="F62" s="3" t="s">
        <v>121</v>
      </c>
      <c r="G62" s="3" t="s">
        <v>20</v>
      </c>
      <c r="H62" s="3" t="str">
        <f>CONCATENATE(Table278[[#This Row],[TIPO_CDR]]," ",Table278[[#This Row],[TRANSACCION]])</f>
        <v>SMS ENTRANTE</v>
      </c>
      <c r="AC62" s="3" t="s">
        <v>29</v>
      </c>
    </row>
    <row r="63" spans="1:29" ht="14.1" customHeight="1" x14ac:dyDescent="0.25">
      <c r="A63" s="4">
        <v>4122200255</v>
      </c>
      <c r="B63" s="4">
        <v>4245088512</v>
      </c>
      <c r="C63" s="9">
        <v>45994</v>
      </c>
      <c r="D63" s="12">
        <v>0.46684027777777781</v>
      </c>
      <c r="E63" s="4">
        <v>145</v>
      </c>
      <c r="F63" s="3" t="s">
        <v>121</v>
      </c>
      <c r="G63" s="3" t="s">
        <v>20</v>
      </c>
      <c r="H63" s="3" t="str">
        <f>CONCATENATE(Table278[[#This Row],[TIPO_CDR]]," ",Table278[[#This Row],[TRANSACCION]])</f>
        <v>SMS ENTRANTE</v>
      </c>
      <c r="AC63" s="3" t="s">
        <v>29</v>
      </c>
    </row>
    <row r="64" spans="1:29" ht="14.1" customHeight="1" x14ac:dyDescent="0.25">
      <c r="A64" s="4">
        <v>4122200255</v>
      </c>
      <c r="B64" s="4">
        <v>4245088512</v>
      </c>
      <c r="C64" s="9">
        <v>46000</v>
      </c>
      <c r="D64" s="12">
        <v>0.4253703703703704</v>
      </c>
      <c r="E64" s="4">
        <v>153</v>
      </c>
      <c r="F64" s="3" t="s">
        <v>121</v>
      </c>
      <c r="G64" s="3" t="s">
        <v>20</v>
      </c>
      <c r="H64" s="3" t="str">
        <f>CONCATENATE(Table278[[#This Row],[TIPO_CDR]]," ",Table278[[#This Row],[TRANSACCION]])</f>
        <v>SMS ENTRANTE</v>
      </c>
      <c r="AC64" s="3" t="s">
        <v>29</v>
      </c>
    </row>
    <row r="65" spans="1:30" ht="14.1" customHeight="1" x14ac:dyDescent="0.25">
      <c r="A65" s="4">
        <v>4122200255</v>
      </c>
      <c r="B65" s="4">
        <v>4245088512</v>
      </c>
      <c r="C65" s="9">
        <v>46000</v>
      </c>
      <c r="D65" s="12">
        <v>0.42539351851851853</v>
      </c>
      <c r="E65" s="4">
        <v>145</v>
      </c>
      <c r="F65" s="3" t="s">
        <v>121</v>
      </c>
      <c r="G65" s="3" t="s">
        <v>20</v>
      </c>
      <c r="H65" s="3" t="str">
        <f>CONCATENATE(Table278[[#This Row],[TIPO_CDR]]," ",Table278[[#This Row],[TRANSACCION]])</f>
        <v>SMS ENTRANTE</v>
      </c>
      <c r="AC65" s="3" t="s">
        <v>29</v>
      </c>
    </row>
    <row r="66" spans="1:30" ht="14.1" customHeight="1" x14ac:dyDescent="0.25">
      <c r="A66" s="4">
        <v>4125141860</v>
      </c>
      <c r="B66" s="4">
        <v>4245088512</v>
      </c>
      <c r="C66" s="9">
        <v>46027</v>
      </c>
      <c r="D66" s="12">
        <v>0.41740740740740739</v>
      </c>
      <c r="E66" s="4">
        <v>153</v>
      </c>
      <c r="F66" s="3" t="s">
        <v>121</v>
      </c>
      <c r="G66" s="3" t="s">
        <v>20</v>
      </c>
      <c r="H66" s="3" t="str">
        <f>CONCATENATE(Table278[[#This Row],[TIPO_CDR]]," ",Table278[[#This Row],[TRANSACCION]])</f>
        <v>SMS ENTRANTE</v>
      </c>
      <c r="AC66" s="3" t="s">
        <v>29</v>
      </c>
    </row>
    <row r="67" spans="1:30" ht="14.1" customHeight="1" x14ac:dyDescent="0.25">
      <c r="A67" s="4">
        <v>4125141860</v>
      </c>
      <c r="B67" s="4">
        <v>4245088512</v>
      </c>
      <c r="C67" s="9">
        <v>46027</v>
      </c>
      <c r="D67" s="12">
        <v>0.41743055555555553</v>
      </c>
      <c r="E67" s="4">
        <v>127</v>
      </c>
      <c r="F67" s="3" t="s">
        <v>121</v>
      </c>
      <c r="G67" s="3" t="s">
        <v>20</v>
      </c>
      <c r="H67" s="3" t="str">
        <f>CONCATENATE(Table278[[#This Row],[TIPO_CDR]]," ",Table278[[#This Row],[TRANSACCION]])</f>
        <v>SMS ENTRANTE</v>
      </c>
      <c r="AC67" s="3" t="s">
        <v>29</v>
      </c>
    </row>
    <row r="68" spans="1:30" ht="14.1" customHeight="1" x14ac:dyDescent="0.25">
      <c r="A68" s="4">
        <v>4245088512</v>
      </c>
      <c r="B68" s="5"/>
      <c r="C68" s="9">
        <v>45663</v>
      </c>
      <c r="D68" s="12">
        <v>0.63011574074074073</v>
      </c>
      <c r="E68" s="4">
        <v>59</v>
      </c>
      <c r="F68" s="3" t="s">
        <v>19</v>
      </c>
      <c r="G68" s="3" t="s">
        <v>20</v>
      </c>
      <c r="H68" s="3" t="str">
        <f>CONCATENATE(Table278[[#This Row],[TIPO_CDR]]," ",Table278[[#This Row],[TRANSACCION]])</f>
        <v>LLAMADA ENTRANTE</v>
      </c>
      <c r="I68" s="3" t="s">
        <v>22</v>
      </c>
      <c r="J68" s="3" t="s">
        <v>23</v>
      </c>
      <c r="K68" s="3" t="s">
        <v>23</v>
      </c>
      <c r="L68" s="3" t="s">
        <v>22</v>
      </c>
      <c r="M68" s="3" t="s">
        <v>23</v>
      </c>
      <c r="N68" s="3" t="s">
        <v>23</v>
      </c>
      <c r="O68" s="3" t="s">
        <v>24</v>
      </c>
      <c r="P68" s="3" t="s">
        <v>25</v>
      </c>
      <c r="Q68" s="3" t="s">
        <v>26</v>
      </c>
      <c r="R68" s="3" t="s">
        <v>27</v>
      </c>
      <c r="S68" s="3" t="s">
        <v>28</v>
      </c>
      <c r="T68" s="3" t="s">
        <v>26</v>
      </c>
      <c r="U68" s="3" t="s">
        <v>27</v>
      </c>
      <c r="V68" s="3" t="s">
        <v>28</v>
      </c>
      <c r="W68" s="3" t="s">
        <v>29</v>
      </c>
      <c r="X68" s="3" t="s">
        <v>29</v>
      </c>
      <c r="Y68" s="3" t="s">
        <v>30</v>
      </c>
      <c r="Z68" s="3" t="s">
        <v>21</v>
      </c>
      <c r="AA68" s="3" t="s">
        <v>30</v>
      </c>
      <c r="AB68" s="3" t="s">
        <v>21</v>
      </c>
      <c r="AC68" s="3" t="s">
        <v>21</v>
      </c>
      <c r="AD68" s="3" t="s">
        <v>21</v>
      </c>
    </row>
    <row r="69" spans="1:30" ht="14.1" customHeight="1" x14ac:dyDescent="0.25">
      <c r="A69" s="4">
        <v>4245088512</v>
      </c>
      <c r="B69" s="5"/>
      <c r="C69" s="9">
        <v>45663</v>
      </c>
      <c r="D69" s="12">
        <v>0.77443287037037034</v>
      </c>
      <c r="E69" s="4">
        <v>98</v>
      </c>
      <c r="F69" s="3" t="s">
        <v>19</v>
      </c>
      <c r="G69" s="3" t="s">
        <v>20</v>
      </c>
      <c r="H69" s="3" t="str">
        <f>CONCATENATE(Table278[[#This Row],[TIPO_CDR]]," ",Table278[[#This Row],[TRANSACCION]])</f>
        <v>LLAMADA ENTRANTE</v>
      </c>
      <c r="I69" s="3" t="s">
        <v>36</v>
      </c>
      <c r="J69" s="3" t="s">
        <v>37</v>
      </c>
      <c r="K69" s="3" t="s">
        <v>38</v>
      </c>
      <c r="L69" s="3" t="s">
        <v>39</v>
      </c>
      <c r="M69" s="3" t="s">
        <v>37</v>
      </c>
      <c r="N69" s="3" t="s">
        <v>38</v>
      </c>
      <c r="O69" s="3" t="s">
        <v>24</v>
      </c>
      <c r="P69" s="3" t="s">
        <v>25</v>
      </c>
      <c r="Q69" s="3" t="s">
        <v>40</v>
      </c>
      <c r="R69" s="3" t="s">
        <v>27</v>
      </c>
      <c r="S69" s="3" t="s">
        <v>28</v>
      </c>
      <c r="T69" s="3" t="s">
        <v>26</v>
      </c>
      <c r="U69" s="3" t="s">
        <v>27</v>
      </c>
      <c r="V69" s="3" t="s">
        <v>28</v>
      </c>
      <c r="W69" s="3" t="s">
        <v>41</v>
      </c>
      <c r="X69" s="3" t="s">
        <v>41</v>
      </c>
      <c r="Y69" s="3" t="s">
        <v>21</v>
      </c>
      <c r="Z69" s="3" t="s">
        <v>21</v>
      </c>
      <c r="AA69" s="3" t="s">
        <v>21</v>
      </c>
      <c r="AB69" s="3" t="s">
        <v>21</v>
      </c>
      <c r="AC69" s="3" t="s">
        <v>34</v>
      </c>
      <c r="AD69" s="3" t="s">
        <v>35</v>
      </c>
    </row>
    <row r="70" spans="1:30" ht="14.1" customHeight="1" x14ac:dyDescent="0.25">
      <c r="A70" s="4">
        <v>4245109750</v>
      </c>
      <c r="B70" s="5"/>
      <c r="C70" s="9">
        <v>45664</v>
      </c>
      <c r="D70" s="12">
        <v>0.45848379629629626</v>
      </c>
      <c r="E70" s="4">
        <v>97</v>
      </c>
      <c r="F70" s="3" t="s">
        <v>19</v>
      </c>
      <c r="G70" s="3" t="s">
        <v>45</v>
      </c>
      <c r="H70" s="3" t="str">
        <f>CONCATENATE(Table278[[#This Row],[TIPO_CDR]]," ",Table278[[#This Row],[TRANSACCION]])</f>
        <v>LLAMADA SALIENTE</v>
      </c>
      <c r="I70" s="3" t="s">
        <v>46</v>
      </c>
      <c r="J70" s="3" t="s">
        <v>47</v>
      </c>
      <c r="K70" s="3" t="s">
        <v>48</v>
      </c>
      <c r="L70" s="3" t="s">
        <v>46</v>
      </c>
      <c r="M70" s="3" t="s">
        <v>47</v>
      </c>
      <c r="N70" s="3" t="s">
        <v>48</v>
      </c>
      <c r="O70" s="3" t="s">
        <v>34</v>
      </c>
      <c r="P70" s="3" t="s">
        <v>35</v>
      </c>
      <c r="Q70" s="3" t="s">
        <v>49</v>
      </c>
      <c r="R70" s="3" t="s">
        <v>47</v>
      </c>
      <c r="S70" s="3" t="s">
        <v>48</v>
      </c>
      <c r="T70" s="3" t="s">
        <v>49</v>
      </c>
      <c r="U70" s="3" t="s">
        <v>47</v>
      </c>
      <c r="V70" s="3" t="s">
        <v>48</v>
      </c>
      <c r="W70" s="3" t="s">
        <v>41</v>
      </c>
      <c r="X70" s="3" t="s">
        <v>41</v>
      </c>
      <c r="Y70" s="3" t="s">
        <v>21</v>
      </c>
      <c r="Z70" s="3" t="s">
        <v>21</v>
      </c>
      <c r="AA70" s="3" t="s">
        <v>21</v>
      </c>
      <c r="AB70" s="3" t="s">
        <v>21</v>
      </c>
      <c r="AC70" s="3" t="s">
        <v>24</v>
      </c>
      <c r="AD70" s="3" t="s">
        <v>25</v>
      </c>
    </row>
    <row r="71" spans="1:30" ht="14.1" customHeight="1" x14ac:dyDescent="0.25">
      <c r="A71" s="4">
        <v>4245109750</v>
      </c>
      <c r="B71" s="5"/>
      <c r="C71" s="9">
        <v>45664</v>
      </c>
      <c r="D71" s="12">
        <v>0.48185185185185181</v>
      </c>
      <c r="E71" s="4">
        <v>31</v>
      </c>
      <c r="F71" s="3" t="s">
        <v>19</v>
      </c>
      <c r="G71" s="3" t="s">
        <v>45</v>
      </c>
      <c r="H71" s="3" t="str">
        <f>CONCATENATE(Table278[[#This Row],[TIPO_CDR]]," ",Table278[[#This Row],[TRANSACCION]])</f>
        <v>LLAMADA SALIENTE</v>
      </c>
      <c r="I71" s="3" t="s">
        <v>46</v>
      </c>
      <c r="J71" s="3" t="s">
        <v>47</v>
      </c>
      <c r="K71" s="3" t="s">
        <v>48</v>
      </c>
      <c r="L71" s="3" t="s">
        <v>46</v>
      </c>
      <c r="M71" s="3" t="s">
        <v>47</v>
      </c>
      <c r="N71" s="3" t="s">
        <v>48</v>
      </c>
      <c r="O71" s="3" t="s">
        <v>34</v>
      </c>
      <c r="P71" s="3" t="s">
        <v>35</v>
      </c>
      <c r="Q71" s="3" t="s">
        <v>49</v>
      </c>
      <c r="R71" s="3" t="s">
        <v>47</v>
      </c>
      <c r="S71" s="3" t="s">
        <v>48</v>
      </c>
      <c r="T71" s="3" t="s">
        <v>49</v>
      </c>
      <c r="U71" s="3" t="s">
        <v>47</v>
      </c>
      <c r="V71" s="3" t="s">
        <v>48</v>
      </c>
      <c r="W71" s="3" t="s">
        <v>41</v>
      </c>
      <c r="X71" s="3" t="s">
        <v>41</v>
      </c>
      <c r="Y71" s="3" t="s">
        <v>21</v>
      </c>
      <c r="Z71" s="3" t="s">
        <v>21</v>
      </c>
      <c r="AA71" s="3" t="s">
        <v>21</v>
      </c>
      <c r="AB71" s="3" t="s">
        <v>21</v>
      </c>
      <c r="AC71" s="3" t="s">
        <v>24</v>
      </c>
      <c r="AD71" s="3" t="s">
        <v>25</v>
      </c>
    </row>
    <row r="72" spans="1:30" ht="14.1" customHeight="1" x14ac:dyDescent="0.25">
      <c r="A72" s="4">
        <v>4245088512</v>
      </c>
      <c r="B72" s="5"/>
      <c r="C72" s="9">
        <v>45664</v>
      </c>
      <c r="D72" s="12">
        <v>0.63126157407407402</v>
      </c>
      <c r="E72" s="4">
        <v>42</v>
      </c>
      <c r="F72" s="3" t="s">
        <v>19</v>
      </c>
      <c r="G72" s="3" t="s">
        <v>20</v>
      </c>
      <c r="H72" s="3" t="str">
        <f>CONCATENATE(Table278[[#This Row],[TIPO_CDR]]," ",Table278[[#This Row],[TRANSACCION]])</f>
        <v>LLAMADA ENTRANTE</v>
      </c>
      <c r="I72" s="3" t="s">
        <v>22</v>
      </c>
      <c r="J72" s="3" t="s">
        <v>23</v>
      </c>
      <c r="K72" s="3" t="s">
        <v>23</v>
      </c>
      <c r="L72" s="3" t="s">
        <v>22</v>
      </c>
      <c r="M72" s="3" t="s">
        <v>23</v>
      </c>
      <c r="N72" s="3" t="s">
        <v>23</v>
      </c>
      <c r="O72" s="3" t="s">
        <v>24</v>
      </c>
      <c r="P72" s="3" t="s">
        <v>25</v>
      </c>
      <c r="Q72" s="3" t="s">
        <v>55</v>
      </c>
      <c r="R72" s="3" t="s">
        <v>27</v>
      </c>
      <c r="S72" s="3" t="s">
        <v>28</v>
      </c>
      <c r="T72" s="3" t="s">
        <v>40</v>
      </c>
      <c r="U72" s="3" t="s">
        <v>27</v>
      </c>
      <c r="V72" s="3" t="s">
        <v>28</v>
      </c>
      <c r="W72" s="3" t="s">
        <v>56</v>
      </c>
      <c r="X72" s="3" t="s">
        <v>56</v>
      </c>
      <c r="Y72" s="3" t="s">
        <v>57</v>
      </c>
      <c r="Z72" s="3" t="s">
        <v>21</v>
      </c>
      <c r="AA72" s="3" t="s">
        <v>57</v>
      </c>
      <c r="AB72" s="3" t="s">
        <v>21</v>
      </c>
      <c r="AC72" s="3" t="s">
        <v>21</v>
      </c>
      <c r="AD72" s="3" t="s">
        <v>21</v>
      </c>
    </row>
    <row r="73" spans="1:30" ht="14.1" customHeight="1" x14ac:dyDescent="0.25">
      <c r="A73" s="4">
        <v>4245088512</v>
      </c>
      <c r="B73" s="5"/>
      <c r="C73" s="9">
        <v>45674</v>
      </c>
      <c r="D73" s="12">
        <v>0.41689814814814818</v>
      </c>
      <c r="E73" s="4">
        <v>179</v>
      </c>
      <c r="F73" s="3" t="s">
        <v>19</v>
      </c>
      <c r="G73" s="3" t="s">
        <v>20</v>
      </c>
      <c r="H73" s="3" t="str">
        <f>CONCATENATE(Table278[[#This Row],[TIPO_CDR]]," ",Table278[[#This Row],[TRANSACCION]])</f>
        <v>LLAMADA ENTRANTE</v>
      </c>
      <c r="I73" s="3" t="s">
        <v>36</v>
      </c>
      <c r="J73" s="3" t="s">
        <v>37</v>
      </c>
      <c r="K73" s="3" t="s">
        <v>38</v>
      </c>
      <c r="L73" s="3" t="s">
        <v>61</v>
      </c>
      <c r="M73" s="3" t="s">
        <v>37</v>
      </c>
      <c r="N73" s="3" t="s">
        <v>38</v>
      </c>
      <c r="O73" s="3" t="s">
        <v>24</v>
      </c>
      <c r="P73" s="3" t="s">
        <v>25</v>
      </c>
      <c r="Q73" s="3" t="s">
        <v>40</v>
      </c>
      <c r="R73" s="3" t="s">
        <v>27</v>
      </c>
      <c r="S73" s="3" t="s">
        <v>28</v>
      </c>
      <c r="T73" s="3" t="s">
        <v>55</v>
      </c>
      <c r="U73" s="3" t="s">
        <v>27</v>
      </c>
      <c r="V73" s="3" t="s">
        <v>28</v>
      </c>
      <c r="W73" s="3" t="s">
        <v>41</v>
      </c>
      <c r="X73" s="3" t="s">
        <v>41</v>
      </c>
      <c r="Y73" s="3" t="s">
        <v>21</v>
      </c>
      <c r="Z73" s="3" t="s">
        <v>21</v>
      </c>
      <c r="AA73" s="3" t="s">
        <v>21</v>
      </c>
      <c r="AB73" s="3" t="s">
        <v>21</v>
      </c>
      <c r="AC73" s="3" t="s">
        <v>34</v>
      </c>
      <c r="AD73" s="3" t="s">
        <v>35</v>
      </c>
    </row>
    <row r="74" spans="1:30" ht="14.1" customHeight="1" x14ac:dyDescent="0.25">
      <c r="A74" s="4">
        <v>4245088512</v>
      </c>
      <c r="B74" s="5"/>
      <c r="C74" s="9">
        <v>45674</v>
      </c>
      <c r="D74" s="12">
        <v>0.42592592592592587</v>
      </c>
      <c r="E74" s="4">
        <v>57</v>
      </c>
      <c r="F74" s="3" t="s">
        <v>19</v>
      </c>
      <c r="G74" s="3" t="s">
        <v>20</v>
      </c>
      <c r="H74" s="3" t="str">
        <f>CONCATENATE(Table278[[#This Row],[TIPO_CDR]]," ",Table278[[#This Row],[TRANSACCION]])</f>
        <v>LLAMADA ENTRANTE</v>
      </c>
      <c r="I74" s="3" t="s">
        <v>36</v>
      </c>
      <c r="J74" s="3" t="s">
        <v>37</v>
      </c>
      <c r="K74" s="3" t="s">
        <v>38</v>
      </c>
      <c r="L74" s="3" t="s">
        <v>39</v>
      </c>
      <c r="M74" s="3" t="s">
        <v>37</v>
      </c>
      <c r="N74" s="3" t="s">
        <v>38</v>
      </c>
      <c r="O74" s="3" t="s">
        <v>24</v>
      </c>
      <c r="P74" s="3" t="s">
        <v>25</v>
      </c>
      <c r="Q74" s="3" t="s">
        <v>40</v>
      </c>
      <c r="R74" s="3" t="s">
        <v>27</v>
      </c>
      <c r="S74" s="3" t="s">
        <v>28</v>
      </c>
      <c r="T74" s="3" t="s">
        <v>26</v>
      </c>
      <c r="U74" s="3" t="s">
        <v>27</v>
      </c>
      <c r="V74" s="3" t="s">
        <v>28</v>
      </c>
      <c r="W74" s="3" t="s">
        <v>41</v>
      </c>
      <c r="X74" s="3" t="s">
        <v>41</v>
      </c>
      <c r="Y74" s="3" t="s">
        <v>21</v>
      </c>
      <c r="Z74" s="3" t="s">
        <v>21</v>
      </c>
      <c r="AA74" s="3" t="s">
        <v>21</v>
      </c>
      <c r="AB74" s="3" t="s">
        <v>21</v>
      </c>
      <c r="AC74" s="3" t="s">
        <v>34</v>
      </c>
      <c r="AD74" s="3" t="s">
        <v>35</v>
      </c>
    </row>
    <row r="75" spans="1:30" ht="14.1" customHeight="1" x14ac:dyDescent="0.25">
      <c r="A75" s="4">
        <v>4245088512</v>
      </c>
      <c r="B75" s="5"/>
      <c r="C75" s="9">
        <v>45674</v>
      </c>
      <c r="D75" s="12">
        <v>0.45332175925925927</v>
      </c>
      <c r="E75" s="4">
        <v>27</v>
      </c>
      <c r="F75" s="3" t="s">
        <v>19</v>
      </c>
      <c r="G75" s="3" t="s">
        <v>20</v>
      </c>
      <c r="H75" s="3" t="str">
        <f>CONCATENATE(Table278[[#This Row],[TIPO_CDR]]," ",Table278[[#This Row],[TRANSACCION]])</f>
        <v>LLAMADA ENTRANTE</v>
      </c>
      <c r="I75" s="3" t="s">
        <v>36</v>
      </c>
      <c r="J75" s="3" t="s">
        <v>37</v>
      </c>
      <c r="K75" s="3" t="s">
        <v>38</v>
      </c>
      <c r="L75" s="3" t="s">
        <v>39</v>
      </c>
      <c r="M75" s="3" t="s">
        <v>37</v>
      </c>
      <c r="N75" s="3" t="s">
        <v>38</v>
      </c>
      <c r="O75" s="3" t="s">
        <v>24</v>
      </c>
      <c r="P75" s="3" t="s">
        <v>25</v>
      </c>
      <c r="Q75" s="3" t="s">
        <v>26</v>
      </c>
      <c r="R75" s="3" t="s">
        <v>27</v>
      </c>
      <c r="S75" s="3" t="s">
        <v>28</v>
      </c>
      <c r="T75" s="3" t="s">
        <v>26</v>
      </c>
      <c r="U75" s="3" t="s">
        <v>27</v>
      </c>
      <c r="V75" s="3" t="s">
        <v>28</v>
      </c>
      <c r="W75" s="3" t="s">
        <v>41</v>
      </c>
      <c r="X75" s="3" t="s">
        <v>41</v>
      </c>
      <c r="Y75" s="3" t="s">
        <v>21</v>
      </c>
      <c r="Z75" s="3" t="s">
        <v>21</v>
      </c>
      <c r="AA75" s="3" t="s">
        <v>21</v>
      </c>
      <c r="AB75" s="3" t="s">
        <v>21</v>
      </c>
      <c r="AC75" s="3" t="s">
        <v>34</v>
      </c>
      <c r="AD75" s="3" t="s">
        <v>35</v>
      </c>
    </row>
    <row r="76" spans="1:30" ht="14.1" customHeight="1" x14ac:dyDescent="0.25">
      <c r="A76" s="4">
        <v>4245088512</v>
      </c>
      <c r="B76" s="5"/>
      <c r="C76" s="9">
        <v>45674</v>
      </c>
      <c r="D76" s="12">
        <v>0.47658564814814813</v>
      </c>
      <c r="E76" s="4">
        <v>79</v>
      </c>
      <c r="F76" s="3" t="s">
        <v>19</v>
      </c>
      <c r="G76" s="3" t="s">
        <v>20</v>
      </c>
      <c r="H76" s="3" t="str">
        <f>CONCATENATE(Table278[[#This Row],[TIPO_CDR]]," ",Table278[[#This Row],[TRANSACCION]])</f>
        <v>LLAMADA ENTRANTE</v>
      </c>
      <c r="I76" s="3" t="s">
        <v>36</v>
      </c>
      <c r="J76" s="3" t="s">
        <v>37</v>
      </c>
      <c r="K76" s="3" t="s">
        <v>38</v>
      </c>
      <c r="L76" s="3" t="s">
        <v>61</v>
      </c>
      <c r="M76" s="3" t="s">
        <v>37</v>
      </c>
      <c r="N76" s="3" t="s">
        <v>38</v>
      </c>
      <c r="O76" s="3" t="s">
        <v>24</v>
      </c>
      <c r="P76" s="3" t="s">
        <v>25</v>
      </c>
      <c r="Q76" s="3" t="s">
        <v>40</v>
      </c>
      <c r="R76" s="3" t="s">
        <v>27</v>
      </c>
      <c r="S76" s="3" t="s">
        <v>28</v>
      </c>
      <c r="T76" s="3" t="s">
        <v>40</v>
      </c>
      <c r="U76" s="3" t="s">
        <v>27</v>
      </c>
      <c r="V76" s="3" t="s">
        <v>28</v>
      </c>
      <c r="W76" s="3" t="s">
        <v>41</v>
      </c>
      <c r="X76" s="3" t="s">
        <v>41</v>
      </c>
      <c r="Y76" s="3" t="s">
        <v>21</v>
      </c>
      <c r="Z76" s="3" t="s">
        <v>21</v>
      </c>
      <c r="AA76" s="3" t="s">
        <v>21</v>
      </c>
      <c r="AB76" s="3" t="s">
        <v>21</v>
      </c>
      <c r="AC76" s="3" t="s">
        <v>34</v>
      </c>
      <c r="AD76" s="3" t="s">
        <v>35</v>
      </c>
    </row>
    <row r="77" spans="1:30" ht="14.1" customHeight="1" x14ac:dyDescent="0.25">
      <c r="A77" s="4">
        <v>4245088512</v>
      </c>
      <c r="B77" s="5"/>
      <c r="C77" s="9">
        <v>45676</v>
      </c>
      <c r="D77" s="12">
        <v>0.7465046296296296</v>
      </c>
      <c r="E77" s="4">
        <v>46</v>
      </c>
      <c r="F77" s="3" t="s">
        <v>19</v>
      </c>
      <c r="G77" s="3" t="s">
        <v>20</v>
      </c>
      <c r="H77" s="3" t="str">
        <f>CONCATENATE(Table278[[#This Row],[TIPO_CDR]]," ",Table278[[#This Row],[TRANSACCION]])</f>
        <v>LLAMADA ENTRANTE</v>
      </c>
      <c r="I77" s="3" t="s">
        <v>26</v>
      </c>
      <c r="J77" s="3" t="s">
        <v>27</v>
      </c>
      <c r="K77" s="3" t="s">
        <v>28</v>
      </c>
      <c r="L77" s="3" t="s">
        <v>26</v>
      </c>
      <c r="M77" s="3" t="s">
        <v>27</v>
      </c>
      <c r="N77" s="3" t="s">
        <v>28</v>
      </c>
      <c r="O77" s="3" t="s">
        <v>24</v>
      </c>
      <c r="P77" s="3" t="s">
        <v>25</v>
      </c>
      <c r="Q77" s="3" t="s">
        <v>40</v>
      </c>
      <c r="R77" s="3" t="s">
        <v>27</v>
      </c>
      <c r="S77" s="3" t="s">
        <v>28</v>
      </c>
      <c r="T77" s="3" t="s">
        <v>40</v>
      </c>
      <c r="U77" s="3" t="s">
        <v>27</v>
      </c>
      <c r="V77" s="3" t="s">
        <v>28</v>
      </c>
      <c r="W77" s="3" t="s">
        <v>41</v>
      </c>
      <c r="X77" s="3" t="s">
        <v>41</v>
      </c>
      <c r="Y77" s="3" t="s">
        <v>21</v>
      </c>
      <c r="Z77" s="3" t="s">
        <v>21</v>
      </c>
      <c r="AA77" s="3" t="s">
        <v>21</v>
      </c>
      <c r="AB77" s="3" t="s">
        <v>21</v>
      </c>
      <c r="AC77" s="3" t="s">
        <v>34</v>
      </c>
      <c r="AD77" s="3" t="s">
        <v>35</v>
      </c>
    </row>
    <row r="78" spans="1:30" ht="14.1" customHeight="1" x14ac:dyDescent="0.25">
      <c r="A78" s="4">
        <v>4245088512</v>
      </c>
      <c r="B78" s="5"/>
      <c r="C78" s="9">
        <v>45678</v>
      </c>
      <c r="D78" s="12">
        <v>0.43458333333333332</v>
      </c>
      <c r="E78" s="4">
        <v>88</v>
      </c>
      <c r="F78" s="3" t="s">
        <v>19</v>
      </c>
      <c r="G78" s="3" t="s">
        <v>20</v>
      </c>
      <c r="H78" s="3" t="str">
        <f>CONCATENATE(Table278[[#This Row],[TIPO_CDR]]," ",Table278[[#This Row],[TRANSACCION]])</f>
        <v>LLAMADA ENTRANTE</v>
      </c>
      <c r="I78" s="3" t="s">
        <v>74</v>
      </c>
      <c r="J78" s="3" t="s">
        <v>75</v>
      </c>
      <c r="K78" s="3" t="s">
        <v>76</v>
      </c>
      <c r="L78" s="3" t="s">
        <v>74</v>
      </c>
      <c r="M78" s="3" t="s">
        <v>75</v>
      </c>
      <c r="N78" s="3" t="s">
        <v>76</v>
      </c>
      <c r="O78" s="3" t="s">
        <v>24</v>
      </c>
      <c r="P78" s="3" t="s">
        <v>25</v>
      </c>
      <c r="Q78" s="3" t="s">
        <v>55</v>
      </c>
      <c r="R78" s="3" t="s">
        <v>27</v>
      </c>
      <c r="S78" s="3" t="s">
        <v>28</v>
      </c>
      <c r="T78" s="3" t="s">
        <v>40</v>
      </c>
      <c r="U78" s="3" t="s">
        <v>27</v>
      </c>
      <c r="V78" s="3" t="s">
        <v>28</v>
      </c>
      <c r="W78" s="3" t="s">
        <v>41</v>
      </c>
      <c r="X78" s="3" t="s">
        <v>41</v>
      </c>
      <c r="Y78" s="3" t="s">
        <v>21</v>
      </c>
      <c r="Z78" s="3" t="s">
        <v>21</v>
      </c>
      <c r="AA78" s="3" t="s">
        <v>21</v>
      </c>
      <c r="AB78" s="3" t="s">
        <v>21</v>
      </c>
      <c r="AC78" s="3" t="s">
        <v>34</v>
      </c>
      <c r="AD78" s="3" t="s">
        <v>35</v>
      </c>
    </row>
    <row r="79" spans="1:30" ht="14.1" customHeight="1" x14ac:dyDescent="0.25">
      <c r="A79" s="4">
        <v>4245088512</v>
      </c>
      <c r="B79" s="5"/>
      <c r="C79" s="9">
        <v>45684</v>
      </c>
      <c r="D79" s="12">
        <v>0.77747685185185189</v>
      </c>
      <c r="E79" s="4">
        <v>45</v>
      </c>
      <c r="F79" s="3" t="s">
        <v>19</v>
      </c>
      <c r="G79" s="3" t="s">
        <v>20</v>
      </c>
      <c r="H79" s="3" t="str">
        <f>CONCATENATE(Table278[[#This Row],[TIPO_CDR]]," ",Table278[[#This Row],[TRANSACCION]])</f>
        <v>LLAMADA ENTRANTE</v>
      </c>
      <c r="I79" s="3" t="s">
        <v>36</v>
      </c>
      <c r="J79" s="3" t="s">
        <v>37</v>
      </c>
      <c r="K79" s="3" t="s">
        <v>38</v>
      </c>
      <c r="L79" s="3" t="s">
        <v>61</v>
      </c>
      <c r="M79" s="3" t="s">
        <v>37</v>
      </c>
      <c r="N79" s="3" t="s">
        <v>38</v>
      </c>
      <c r="O79" s="3" t="s">
        <v>24</v>
      </c>
      <c r="P79" s="3" t="s">
        <v>25</v>
      </c>
      <c r="Q79" s="3" t="s">
        <v>26</v>
      </c>
      <c r="R79" s="3" t="s">
        <v>27</v>
      </c>
      <c r="S79" s="3" t="s">
        <v>28</v>
      </c>
      <c r="T79" s="3" t="s">
        <v>80</v>
      </c>
      <c r="U79" s="3" t="s">
        <v>81</v>
      </c>
      <c r="V79" s="3" t="s">
        <v>82</v>
      </c>
      <c r="W79" s="3" t="s">
        <v>41</v>
      </c>
      <c r="X79" s="3" t="s">
        <v>41</v>
      </c>
      <c r="Y79" s="3" t="s">
        <v>21</v>
      </c>
      <c r="Z79" s="3" t="s">
        <v>21</v>
      </c>
      <c r="AA79" s="3" t="s">
        <v>21</v>
      </c>
      <c r="AB79" s="3" t="s">
        <v>21</v>
      </c>
      <c r="AC79" s="3" t="s">
        <v>34</v>
      </c>
      <c r="AD79" s="3" t="s">
        <v>35</v>
      </c>
    </row>
    <row r="80" spans="1:30" ht="14.1" customHeight="1" x14ac:dyDescent="0.25">
      <c r="A80" s="4">
        <v>4245088512</v>
      </c>
      <c r="B80" s="5"/>
      <c r="C80" s="9">
        <v>45702</v>
      </c>
      <c r="D80" s="12">
        <v>0.37739583333333332</v>
      </c>
      <c r="E80" s="4">
        <v>29</v>
      </c>
      <c r="F80" s="3" t="s">
        <v>19</v>
      </c>
      <c r="G80" s="3" t="s">
        <v>20</v>
      </c>
      <c r="H80" s="3" t="str">
        <f>CONCATENATE(Table278[[#This Row],[TIPO_CDR]]," ",Table278[[#This Row],[TRANSACCION]])</f>
        <v>LLAMADA ENTRANTE</v>
      </c>
      <c r="I80" s="3" t="s">
        <v>61</v>
      </c>
      <c r="J80" s="3" t="s">
        <v>37</v>
      </c>
      <c r="K80" s="3" t="s">
        <v>38</v>
      </c>
      <c r="L80" s="3" t="s">
        <v>61</v>
      </c>
      <c r="M80" s="3" t="s">
        <v>37</v>
      </c>
      <c r="N80" s="3" t="s">
        <v>38</v>
      </c>
      <c r="O80" s="3" t="s">
        <v>24</v>
      </c>
      <c r="P80" s="3" t="s">
        <v>25</v>
      </c>
      <c r="Q80" s="3" t="s">
        <v>40</v>
      </c>
      <c r="R80" s="3" t="s">
        <v>27</v>
      </c>
      <c r="S80" s="3" t="s">
        <v>28</v>
      </c>
      <c r="T80" s="3" t="s">
        <v>40</v>
      </c>
      <c r="U80" s="3" t="s">
        <v>27</v>
      </c>
      <c r="V80" s="3" t="s">
        <v>28</v>
      </c>
      <c r="W80" s="3" t="s">
        <v>41</v>
      </c>
      <c r="X80" s="3" t="s">
        <v>41</v>
      </c>
      <c r="Y80" s="3" t="s">
        <v>21</v>
      </c>
      <c r="Z80" s="3" t="s">
        <v>21</v>
      </c>
      <c r="AA80" s="3" t="s">
        <v>21</v>
      </c>
      <c r="AB80" s="3" t="s">
        <v>21</v>
      </c>
      <c r="AC80" s="3" t="s">
        <v>34</v>
      </c>
      <c r="AD80" s="3" t="s">
        <v>35</v>
      </c>
    </row>
    <row r="81" spans="1:29" ht="14.1" customHeight="1" x14ac:dyDescent="0.25">
      <c r="A81" s="4">
        <v>4245088512</v>
      </c>
      <c r="B81" s="5"/>
      <c r="C81" s="9">
        <v>45667</v>
      </c>
      <c r="D81" s="12">
        <v>0.37598379629629625</v>
      </c>
      <c r="E81" s="4">
        <v>95</v>
      </c>
      <c r="F81" s="3" t="s">
        <v>121</v>
      </c>
      <c r="G81" s="3" t="s">
        <v>20</v>
      </c>
      <c r="H81" s="3" t="str">
        <f>CONCATENATE(Table278[[#This Row],[TIPO_CDR]]," ",Table278[[#This Row],[TRANSACCION]])</f>
        <v>SMS ENTRANTE</v>
      </c>
      <c r="AC81" s="3" t="s">
        <v>122</v>
      </c>
    </row>
    <row r="82" spans="1:29" ht="14.1" customHeight="1" x14ac:dyDescent="0.25">
      <c r="A82" s="4">
        <v>4245088512</v>
      </c>
      <c r="B82" s="5"/>
      <c r="C82" s="9">
        <v>45670</v>
      </c>
      <c r="D82" s="12">
        <v>0.45902777777777781</v>
      </c>
      <c r="E82" s="4">
        <v>149</v>
      </c>
      <c r="F82" s="3" t="s">
        <v>121</v>
      </c>
      <c r="G82" s="3" t="s">
        <v>20</v>
      </c>
      <c r="H82" s="3" t="str">
        <f>CONCATENATE(Table278[[#This Row],[TIPO_CDR]]," ",Table278[[#This Row],[TRANSACCION]])</f>
        <v>SMS ENTRANTE</v>
      </c>
      <c r="AC82" s="3" t="s">
        <v>127</v>
      </c>
    </row>
    <row r="83" spans="1:29" ht="14.1" customHeight="1" x14ac:dyDescent="0.25">
      <c r="A83" s="4">
        <v>4245088512</v>
      </c>
      <c r="B83" s="5"/>
      <c r="C83" s="9">
        <v>45670</v>
      </c>
      <c r="D83" s="12">
        <v>0.5427777777777778</v>
      </c>
      <c r="E83" s="4">
        <v>149</v>
      </c>
      <c r="F83" s="3" t="s">
        <v>121</v>
      </c>
      <c r="G83" s="3" t="s">
        <v>20</v>
      </c>
      <c r="H83" s="3" t="str">
        <f>CONCATENATE(Table278[[#This Row],[TIPO_CDR]]," ",Table278[[#This Row],[TRANSACCION]])</f>
        <v>SMS ENTRANTE</v>
      </c>
      <c r="AC83" s="3" t="s">
        <v>127</v>
      </c>
    </row>
    <row r="84" spans="1:29" ht="14.1" customHeight="1" x14ac:dyDescent="0.25">
      <c r="A84" s="4">
        <v>4245088512</v>
      </c>
      <c r="B84" s="5"/>
      <c r="C84" s="9">
        <v>45670</v>
      </c>
      <c r="D84" s="12">
        <v>0.7512847222222222</v>
      </c>
      <c r="E84" s="4">
        <v>121</v>
      </c>
      <c r="F84" s="3" t="s">
        <v>121</v>
      </c>
      <c r="G84" s="3" t="s">
        <v>20</v>
      </c>
      <c r="H84" s="3" t="str">
        <f>CONCATENATE(Table278[[#This Row],[TIPO_CDR]]," ",Table278[[#This Row],[TRANSACCION]])</f>
        <v>SMS ENTRANTE</v>
      </c>
      <c r="AC84" s="3" t="s">
        <v>122</v>
      </c>
    </row>
    <row r="85" spans="1:29" ht="14.1" customHeight="1" x14ac:dyDescent="0.25">
      <c r="A85" s="4">
        <v>4245088512</v>
      </c>
      <c r="B85" s="5"/>
      <c r="C85" s="9">
        <v>45672</v>
      </c>
      <c r="D85" s="12">
        <v>0.33471064814814816</v>
      </c>
      <c r="E85" s="4">
        <v>89</v>
      </c>
      <c r="F85" s="3" t="s">
        <v>121</v>
      </c>
      <c r="G85" s="3" t="s">
        <v>20</v>
      </c>
      <c r="H85" s="3" t="str">
        <f>CONCATENATE(Table278[[#This Row],[TIPO_CDR]]," ",Table278[[#This Row],[TRANSACCION]])</f>
        <v>SMS ENTRANTE</v>
      </c>
      <c r="AC85" s="3" t="s">
        <v>122</v>
      </c>
    </row>
    <row r="86" spans="1:29" ht="14.1" customHeight="1" x14ac:dyDescent="0.25">
      <c r="A86" s="4">
        <v>4245088512</v>
      </c>
      <c r="B86" s="5"/>
      <c r="C86" s="9">
        <v>45673</v>
      </c>
      <c r="D86" s="12">
        <v>0.45954861111111112</v>
      </c>
      <c r="E86" s="4">
        <v>96</v>
      </c>
      <c r="F86" s="3" t="s">
        <v>121</v>
      </c>
      <c r="G86" s="3" t="s">
        <v>20</v>
      </c>
      <c r="H86" s="3" t="str">
        <f>CONCATENATE(Table278[[#This Row],[TIPO_CDR]]," ",Table278[[#This Row],[TRANSACCION]])</f>
        <v>SMS ENTRANTE</v>
      </c>
      <c r="AC86" s="3" t="s">
        <v>122</v>
      </c>
    </row>
    <row r="87" spans="1:29" ht="14.1" customHeight="1" x14ac:dyDescent="0.25">
      <c r="A87" s="4">
        <v>4245088512</v>
      </c>
      <c r="B87" s="5"/>
      <c r="C87" s="9">
        <v>45678</v>
      </c>
      <c r="D87" s="12">
        <v>0.5423958333333333</v>
      </c>
      <c r="E87" s="4">
        <v>89</v>
      </c>
      <c r="F87" s="3" t="s">
        <v>121</v>
      </c>
      <c r="G87" s="3" t="s">
        <v>20</v>
      </c>
      <c r="H87" s="3" t="str">
        <f>CONCATENATE(Table278[[#This Row],[TIPO_CDR]]," ",Table278[[#This Row],[TRANSACCION]])</f>
        <v>SMS ENTRANTE</v>
      </c>
      <c r="AC87" s="3" t="s">
        <v>122</v>
      </c>
    </row>
    <row r="88" spans="1:29" ht="14.1" customHeight="1" x14ac:dyDescent="0.25">
      <c r="A88" s="4">
        <v>4245088512</v>
      </c>
      <c r="B88" s="5"/>
      <c r="C88" s="9">
        <v>45683</v>
      </c>
      <c r="D88" s="12">
        <v>0.41769675925925925</v>
      </c>
      <c r="E88" s="4">
        <v>123</v>
      </c>
      <c r="F88" s="3" t="s">
        <v>121</v>
      </c>
      <c r="G88" s="3" t="s">
        <v>20</v>
      </c>
      <c r="H88" s="3" t="str">
        <f>CONCATENATE(Table278[[#This Row],[TIPO_CDR]]," ",Table278[[#This Row],[TRANSACCION]])</f>
        <v>SMS ENTRANTE</v>
      </c>
      <c r="AC88" s="3" t="s">
        <v>122</v>
      </c>
    </row>
    <row r="89" spans="1:29" ht="14.1" customHeight="1" x14ac:dyDescent="0.25">
      <c r="A89" s="4">
        <v>4245088512</v>
      </c>
      <c r="B89" s="5"/>
      <c r="C89" s="9">
        <v>45688</v>
      </c>
      <c r="D89" s="12">
        <v>0.33422453703703708</v>
      </c>
      <c r="E89" s="4">
        <v>124</v>
      </c>
      <c r="F89" s="3" t="s">
        <v>121</v>
      </c>
      <c r="G89" s="3" t="s">
        <v>20</v>
      </c>
      <c r="H89" s="3" t="str">
        <f>CONCATENATE(Table278[[#This Row],[TIPO_CDR]]," ",Table278[[#This Row],[TRANSACCION]])</f>
        <v>SMS ENTRANTE</v>
      </c>
      <c r="AC89" s="3" t="s">
        <v>122</v>
      </c>
    </row>
    <row r="90" spans="1:29" ht="14.1" customHeight="1" x14ac:dyDescent="0.25">
      <c r="A90" s="4">
        <v>4245088512</v>
      </c>
      <c r="B90" s="5"/>
      <c r="C90" s="9">
        <v>45688</v>
      </c>
      <c r="D90" s="12">
        <v>0.45906249999999998</v>
      </c>
      <c r="E90" s="4">
        <v>153</v>
      </c>
      <c r="F90" s="3" t="s">
        <v>121</v>
      </c>
      <c r="G90" s="3" t="s">
        <v>20</v>
      </c>
      <c r="H90" s="3" t="str">
        <f>CONCATENATE(Table278[[#This Row],[TIPO_CDR]]," ",Table278[[#This Row],[TRANSACCION]])</f>
        <v>SMS ENTRANTE</v>
      </c>
      <c r="AC90" s="3" t="s">
        <v>29</v>
      </c>
    </row>
    <row r="91" spans="1:29" ht="14.1" customHeight="1" x14ac:dyDescent="0.25">
      <c r="A91" s="4">
        <v>4245088512</v>
      </c>
      <c r="B91" s="5"/>
      <c r="C91" s="9">
        <v>45688</v>
      </c>
      <c r="D91" s="12">
        <v>0.45907407407407402</v>
      </c>
      <c r="E91" s="4">
        <v>110</v>
      </c>
      <c r="F91" s="3" t="s">
        <v>121</v>
      </c>
      <c r="G91" s="3" t="s">
        <v>20</v>
      </c>
      <c r="H91" s="3" t="str">
        <f>CONCATENATE(Table278[[#This Row],[TIPO_CDR]]," ",Table278[[#This Row],[TRANSACCION]])</f>
        <v>SMS ENTRANTE</v>
      </c>
      <c r="AC91" s="3" t="s">
        <v>29</v>
      </c>
    </row>
    <row r="92" spans="1:29" ht="14.1" customHeight="1" x14ac:dyDescent="0.25">
      <c r="A92" s="4">
        <v>4245088512</v>
      </c>
      <c r="B92" s="5"/>
      <c r="C92" s="9">
        <v>45693</v>
      </c>
      <c r="D92" s="12">
        <v>0.4183912037037037</v>
      </c>
      <c r="E92" s="4">
        <v>108</v>
      </c>
      <c r="F92" s="3" t="s">
        <v>121</v>
      </c>
      <c r="G92" s="3" t="s">
        <v>20</v>
      </c>
      <c r="H92" s="3" t="str">
        <f>CONCATENATE(Table278[[#This Row],[TIPO_CDR]]," ",Table278[[#This Row],[TRANSACCION]])</f>
        <v>SMS ENTRANTE</v>
      </c>
      <c r="AC92" s="3" t="s">
        <v>122</v>
      </c>
    </row>
    <row r="93" spans="1:29" ht="14.1" customHeight="1" x14ac:dyDescent="0.25">
      <c r="A93" s="4">
        <v>4245088512</v>
      </c>
      <c r="B93" s="5"/>
      <c r="C93" s="9">
        <v>45696</v>
      </c>
      <c r="D93" s="12">
        <v>0.29315972222222225</v>
      </c>
      <c r="E93" s="4">
        <v>150</v>
      </c>
      <c r="F93" s="3" t="s">
        <v>121</v>
      </c>
      <c r="G93" s="3" t="s">
        <v>20</v>
      </c>
      <c r="H93" s="3" t="str">
        <f>CONCATENATE(Table278[[#This Row],[TIPO_CDR]]," ",Table278[[#This Row],[TRANSACCION]])</f>
        <v>SMS ENTRANTE</v>
      </c>
      <c r="AC93" s="3" t="s">
        <v>158</v>
      </c>
    </row>
    <row r="94" spans="1:29" ht="14.1" customHeight="1" x14ac:dyDescent="0.25">
      <c r="A94" s="4">
        <v>4245088512</v>
      </c>
      <c r="B94" s="5"/>
      <c r="C94" s="9">
        <v>45697</v>
      </c>
      <c r="D94" s="12">
        <v>0.37663194444444442</v>
      </c>
      <c r="E94" s="4">
        <v>116</v>
      </c>
      <c r="F94" s="3" t="s">
        <v>121</v>
      </c>
      <c r="G94" s="3" t="s">
        <v>20</v>
      </c>
      <c r="H94" s="3" t="str">
        <f>CONCATENATE(Table278[[#This Row],[TIPO_CDR]]," ",Table278[[#This Row],[TRANSACCION]])</f>
        <v>SMS ENTRANTE</v>
      </c>
      <c r="AC94" s="3" t="s">
        <v>122</v>
      </c>
    </row>
    <row r="95" spans="1:29" ht="14.1" customHeight="1" x14ac:dyDescent="0.25">
      <c r="A95" s="4">
        <v>4245088512</v>
      </c>
      <c r="B95" s="5"/>
      <c r="C95" s="9">
        <v>45700</v>
      </c>
      <c r="D95" s="12">
        <v>0.33519675925925929</v>
      </c>
      <c r="E95" s="4">
        <v>121</v>
      </c>
      <c r="F95" s="3" t="s">
        <v>121</v>
      </c>
      <c r="G95" s="3" t="s">
        <v>20</v>
      </c>
      <c r="H95" s="3" t="str">
        <f>CONCATENATE(Table278[[#This Row],[TIPO_CDR]]," ",Table278[[#This Row],[TRANSACCION]])</f>
        <v>SMS ENTRANTE</v>
      </c>
      <c r="AC95" s="3" t="s">
        <v>122</v>
      </c>
    </row>
    <row r="96" spans="1:29" ht="14.1" customHeight="1" x14ac:dyDescent="0.25">
      <c r="A96" s="4">
        <v>4245088512</v>
      </c>
      <c r="B96" s="5"/>
      <c r="C96" s="9">
        <v>45706</v>
      </c>
      <c r="D96" s="12">
        <v>0.46012731481481484</v>
      </c>
      <c r="E96" s="4">
        <v>101</v>
      </c>
      <c r="F96" s="3" t="s">
        <v>121</v>
      </c>
      <c r="G96" s="3" t="s">
        <v>20</v>
      </c>
      <c r="H96" s="3" t="str">
        <f>CONCATENATE(Table278[[#This Row],[TIPO_CDR]]," ",Table278[[#This Row],[TRANSACCION]])</f>
        <v>SMS ENTRANTE</v>
      </c>
      <c r="AC96" s="3" t="s">
        <v>122</v>
      </c>
    </row>
    <row r="97" spans="1:29" ht="14.1" customHeight="1" x14ac:dyDescent="0.25">
      <c r="A97" s="4">
        <v>4245088512</v>
      </c>
      <c r="B97" s="5"/>
      <c r="C97" s="9">
        <v>45713</v>
      </c>
      <c r="D97" s="12">
        <v>0.33539351851851856</v>
      </c>
      <c r="E97" s="4">
        <v>115</v>
      </c>
      <c r="F97" s="3" t="s">
        <v>121</v>
      </c>
      <c r="G97" s="3" t="s">
        <v>20</v>
      </c>
      <c r="H97" s="3" t="str">
        <f>CONCATENATE(Table278[[#This Row],[TIPO_CDR]]," ",Table278[[#This Row],[TRANSACCION]])</f>
        <v>SMS ENTRANTE</v>
      </c>
      <c r="AC97" s="3" t="s">
        <v>122</v>
      </c>
    </row>
    <row r="98" spans="1:29" ht="14.1" customHeight="1" x14ac:dyDescent="0.25">
      <c r="A98" s="4">
        <v>4245088512</v>
      </c>
      <c r="B98" s="5"/>
      <c r="C98" s="9">
        <v>45716</v>
      </c>
      <c r="D98" s="12">
        <v>0.37695601851851851</v>
      </c>
      <c r="E98" s="4">
        <v>102</v>
      </c>
      <c r="F98" s="3" t="s">
        <v>121</v>
      </c>
      <c r="G98" s="3" t="s">
        <v>20</v>
      </c>
      <c r="H98" s="3" t="str">
        <f>CONCATENATE(Table278[[#This Row],[TIPO_CDR]]," ",Table278[[#This Row],[TRANSACCION]])</f>
        <v>SMS ENTRANTE</v>
      </c>
      <c r="AC98" s="3" t="s">
        <v>122</v>
      </c>
    </row>
    <row r="99" spans="1:29" ht="14.1" customHeight="1" x14ac:dyDescent="0.25">
      <c r="A99" s="4">
        <v>4245088512</v>
      </c>
      <c r="B99" s="5"/>
      <c r="C99" s="9">
        <v>45716</v>
      </c>
      <c r="D99" s="12">
        <v>0.58474537037037033</v>
      </c>
      <c r="E99" s="4">
        <v>125</v>
      </c>
      <c r="F99" s="3" t="s">
        <v>121</v>
      </c>
      <c r="G99" s="3" t="s">
        <v>20</v>
      </c>
      <c r="H99" s="3" t="str">
        <f>CONCATENATE(Table278[[#This Row],[TIPO_CDR]]," ",Table278[[#This Row],[TRANSACCION]])</f>
        <v>SMS ENTRANTE</v>
      </c>
      <c r="AC99" s="3" t="s">
        <v>122</v>
      </c>
    </row>
    <row r="100" spans="1:29" ht="14.1" customHeight="1" x14ac:dyDescent="0.25">
      <c r="A100" s="4">
        <v>4245088512</v>
      </c>
      <c r="B100" s="5"/>
      <c r="C100" s="9">
        <v>45727</v>
      </c>
      <c r="D100" s="12">
        <v>0.33608796296296295</v>
      </c>
      <c r="E100" s="4">
        <v>127</v>
      </c>
      <c r="F100" s="3" t="s">
        <v>121</v>
      </c>
      <c r="G100" s="3" t="s">
        <v>20</v>
      </c>
      <c r="H100" s="3" t="str">
        <f>CONCATENATE(Table278[[#This Row],[TIPO_CDR]]," ",Table278[[#This Row],[TRANSACCION]])</f>
        <v>SMS ENTRANTE</v>
      </c>
      <c r="AC100" s="3" t="s">
        <v>122</v>
      </c>
    </row>
    <row r="101" spans="1:29" ht="14.1" customHeight="1" x14ac:dyDescent="0.25">
      <c r="A101" s="4">
        <v>4245088512</v>
      </c>
      <c r="B101" s="5"/>
      <c r="C101" s="9">
        <v>45728</v>
      </c>
      <c r="D101" s="12">
        <v>0.41884259259259254</v>
      </c>
      <c r="E101" s="4">
        <v>69</v>
      </c>
      <c r="F101" s="3" t="s">
        <v>121</v>
      </c>
      <c r="G101" s="3" t="s">
        <v>20</v>
      </c>
      <c r="H101" s="3" t="str">
        <f>CONCATENATE(Table278[[#This Row],[TIPO_CDR]]," ",Table278[[#This Row],[TRANSACCION]])</f>
        <v>SMS ENTRANTE</v>
      </c>
      <c r="AC101" s="3" t="s">
        <v>122</v>
      </c>
    </row>
    <row r="102" spans="1:29" ht="14.1" customHeight="1" x14ac:dyDescent="0.25">
      <c r="A102" s="4">
        <v>4245088512</v>
      </c>
      <c r="B102" s="5"/>
      <c r="C102" s="9">
        <v>45728</v>
      </c>
      <c r="D102" s="12">
        <v>0.46104166666666663</v>
      </c>
      <c r="E102" s="4">
        <v>105</v>
      </c>
      <c r="F102" s="3" t="s">
        <v>121</v>
      </c>
      <c r="G102" s="3" t="s">
        <v>20</v>
      </c>
      <c r="H102" s="3" t="str">
        <f>CONCATENATE(Table278[[#This Row],[TIPO_CDR]]," ",Table278[[#This Row],[TRANSACCION]])</f>
        <v>SMS ENTRANTE</v>
      </c>
      <c r="AC102" s="3" t="s">
        <v>122</v>
      </c>
    </row>
    <row r="103" spans="1:29" ht="14.1" customHeight="1" x14ac:dyDescent="0.25">
      <c r="A103" s="4">
        <v>4245088512</v>
      </c>
      <c r="B103" s="5"/>
      <c r="C103" s="9">
        <v>45732</v>
      </c>
      <c r="D103" s="12">
        <v>0.50250000000000006</v>
      </c>
      <c r="E103" s="4">
        <v>59</v>
      </c>
      <c r="F103" s="3" t="s">
        <v>121</v>
      </c>
      <c r="G103" s="3" t="s">
        <v>20</v>
      </c>
      <c r="H103" s="3" t="str">
        <f>CONCATENATE(Table278[[#This Row],[TIPO_CDR]]," ",Table278[[#This Row],[TRANSACCION]])</f>
        <v>SMS ENTRANTE</v>
      </c>
      <c r="AC103" s="3" t="s">
        <v>127</v>
      </c>
    </row>
    <row r="104" spans="1:29" ht="14.1" customHeight="1" x14ac:dyDescent="0.25">
      <c r="A104" s="4">
        <v>4245088512</v>
      </c>
      <c r="B104" s="5"/>
      <c r="C104" s="9">
        <v>45732</v>
      </c>
      <c r="D104" s="12">
        <v>0.50237268518518519</v>
      </c>
      <c r="E104" s="4">
        <v>81</v>
      </c>
      <c r="F104" s="3" t="s">
        <v>121</v>
      </c>
      <c r="G104" s="3" t="s">
        <v>20</v>
      </c>
      <c r="H104" s="3" t="str">
        <f>CONCATENATE(Table278[[#This Row],[TIPO_CDR]]," ",Table278[[#This Row],[TRANSACCION]])</f>
        <v>SMS ENTRANTE</v>
      </c>
      <c r="AC104" s="3" t="s">
        <v>127</v>
      </c>
    </row>
    <row r="105" spans="1:29" ht="14.1" customHeight="1" x14ac:dyDescent="0.25">
      <c r="A105" s="4">
        <v>4245088512</v>
      </c>
      <c r="B105" s="5"/>
      <c r="C105" s="9">
        <v>45744</v>
      </c>
      <c r="D105" s="12">
        <v>0.37763888888888886</v>
      </c>
      <c r="E105" s="4">
        <v>121</v>
      </c>
      <c r="F105" s="3" t="s">
        <v>121</v>
      </c>
      <c r="G105" s="3" t="s">
        <v>20</v>
      </c>
      <c r="H105" s="3" t="str">
        <f>CONCATENATE(Table278[[#This Row],[TIPO_CDR]]," ",Table278[[#This Row],[TRANSACCION]])</f>
        <v>SMS ENTRANTE</v>
      </c>
      <c r="AC105" s="3" t="s">
        <v>122</v>
      </c>
    </row>
    <row r="106" spans="1:29" ht="14.1" customHeight="1" x14ac:dyDescent="0.25">
      <c r="A106" s="4">
        <v>4245088512</v>
      </c>
      <c r="B106" s="5"/>
      <c r="C106" s="9">
        <v>45746</v>
      </c>
      <c r="D106" s="12">
        <v>0.50256944444444451</v>
      </c>
      <c r="E106" s="4">
        <v>69</v>
      </c>
      <c r="F106" s="3" t="s">
        <v>121</v>
      </c>
      <c r="G106" s="3" t="s">
        <v>20</v>
      </c>
      <c r="H106" s="3" t="str">
        <f>CONCATENATE(Table278[[#This Row],[TIPO_CDR]]," ",Table278[[#This Row],[TRANSACCION]])</f>
        <v>SMS ENTRANTE</v>
      </c>
      <c r="AC106" s="3" t="s">
        <v>122</v>
      </c>
    </row>
    <row r="107" spans="1:29" ht="14.1" customHeight="1" x14ac:dyDescent="0.25">
      <c r="A107" s="4">
        <v>4245088512</v>
      </c>
      <c r="B107" s="5"/>
      <c r="C107" s="9">
        <v>45747</v>
      </c>
      <c r="D107" s="12">
        <v>0.41898148148148145</v>
      </c>
      <c r="E107" s="4">
        <v>123</v>
      </c>
      <c r="F107" s="3" t="s">
        <v>121</v>
      </c>
      <c r="G107" s="3" t="s">
        <v>20</v>
      </c>
      <c r="H107" s="3" t="str">
        <f>CONCATENATE(Table278[[#This Row],[TIPO_CDR]]," ",Table278[[#This Row],[TRANSACCION]])</f>
        <v>SMS ENTRANTE</v>
      </c>
      <c r="AC107" s="3" t="s">
        <v>122</v>
      </c>
    </row>
    <row r="108" spans="1:29" ht="14.1" customHeight="1" x14ac:dyDescent="0.25">
      <c r="A108" s="4">
        <v>4245088512</v>
      </c>
      <c r="B108" s="5"/>
      <c r="C108" s="9">
        <v>45752</v>
      </c>
      <c r="D108" s="12">
        <v>0.50296296296296295</v>
      </c>
      <c r="E108" s="4">
        <v>153</v>
      </c>
      <c r="F108" s="3" t="s">
        <v>121</v>
      </c>
      <c r="G108" s="3" t="s">
        <v>20</v>
      </c>
      <c r="H108" s="3" t="str">
        <f>CONCATENATE(Table278[[#This Row],[TIPO_CDR]]," ",Table278[[#This Row],[TRANSACCION]])</f>
        <v>SMS ENTRANTE</v>
      </c>
      <c r="AC108" s="3" t="s">
        <v>158</v>
      </c>
    </row>
    <row r="109" spans="1:29" ht="14.1" customHeight="1" x14ac:dyDescent="0.25">
      <c r="A109" s="4">
        <v>4245088512</v>
      </c>
      <c r="B109" s="5"/>
      <c r="C109" s="9">
        <v>45752</v>
      </c>
      <c r="D109" s="12">
        <v>0.50299768518518517</v>
      </c>
      <c r="E109" s="4">
        <v>143</v>
      </c>
      <c r="F109" s="3" t="s">
        <v>121</v>
      </c>
      <c r="G109" s="3" t="s">
        <v>20</v>
      </c>
      <c r="H109" s="3" t="str">
        <f>CONCATENATE(Table278[[#This Row],[TIPO_CDR]]," ",Table278[[#This Row],[TRANSACCION]])</f>
        <v>SMS ENTRANTE</v>
      </c>
      <c r="AC109" s="3" t="s">
        <v>158</v>
      </c>
    </row>
    <row r="110" spans="1:29" ht="14.1" customHeight="1" x14ac:dyDescent="0.25">
      <c r="A110" s="4">
        <v>4245088512</v>
      </c>
      <c r="B110" s="5"/>
      <c r="C110" s="9">
        <v>45753</v>
      </c>
      <c r="D110" s="12">
        <v>0.50296296296296295</v>
      </c>
      <c r="E110" s="4">
        <v>69</v>
      </c>
      <c r="F110" s="3" t="s">
        <v>121</v>
      </c>
      <c r="G110" s="3" t="s">
        <v>20</v>
      </c>
      <c r="H110" s="3" t="str">
        <f>CONCATENATE(Table278[[#This Row],[TIPO_CDR]]," ",Table278[[#This Row],[TRANSACCION]])</f>
        <v>SMS ENTRANTE</v>
      </c>
      <c r="AC110" s="3" t="s">
        <v>122</v>
      </c>
    </row>
    <row r="111" spans="1:29" ht="14.1" customHeight="1" x14ac:dyDescent="0.25">
      <c r="A111" s="4">
        <v>4245088512</v>
      </c>
      <c r="B111" s="5"/>
      <c r="C111" s="9">
        <v>45758</v>
      </c>
      <c r="D111" s="12">
        <v>0.33671296296296299</v>
      </c>
      <c r="E111" s="4">
        <v>127</v>
      </c>
      <c r="F111" s="3" t="s">
        <v>121</v>
      </c>
      <c r="G111" s="3" t="s">
        <v>20</v>
      </c>
      <c r="H111" s="3" t="str">
        <f>CONCATENATE(Table278[[#This Row],[TIPO_CDR]]," ",Table278[[#This Row],[TRANSACCION]])</f>
        <v>SMS ENTRANTE</v>
      </c>
      <c r="AC111" s="3" t="s">
        <v>122</v>
      </c>
    </row>
    <row r="112" spans="1:29" ht="14.1" customHeight="1" x14ac:dyDescent="0.25">
      <c r="A112" s="4">
        <v>4245088512</v>
      </c>
      <c r="B112" s="5"/>
      <c r="C112" s="9">
        <v>45761</v>
      </c>
      <c r="D112" s="12">
        <v>0.46151620370370372</v>
      </c>
      <c r="E112" s="4">
        <v>128</v>
      </c>
      <c r="F112" s="3" t="s">
        <v>121</v>
      </c>
      <c r="G112" s="3" t="s">
        <v>20</v>
      </c>
      <c r="H112" s="3" t="str">
        <f>CONCATENATE(Table278[[#This Row],[TIPO_CDR]]," ",Table278[[#This Row],[TRANSACCION]])</f>
        <v>SMS ENTRANTE</v>
      </c>
      <c r="AC112" s="3" t="s">
        <v>122</v>
      </c>
    </row>
    <row r="113" spans="1:29" ht="14.1" customHeight="1" x14ac:dyDescent="0.25">
      <c r="A113" s="4">
        <v>4245088512</v>
      </c>
      <c r="B113" s="5"/>
      <c r="C113" s="9">
        <v>45763</v>
      </c>
      <c r="D113" s="12">
        <v>0.41996527777777781</v>
      </c>
      <c r="E113" s="4">
        <v>97</v>
      </c>
      <c r="F113" s="3" t="s">
        <v>121</v>
      </c>
      <c r="G113" s="3" t="s">
        <v>20</v>
      </c>
      <c r="H113" s="3" t="str">
        <f>CONCATENATE(Table278[[#This Row],[TIPO_CDR]]," ",Table278[[#This Row],[TRANSACCION]])</f>
        <v>SMS ENTRANTE</v>
      </c>
      <c r="AC113" s="3" t="s">
        <v>122</v>
      </c>
    </row>
    <row r="114" spans="1:29" ht="14.1" customHeight="1" x14ac:dyDescent="0.25">
      <c r="A114" s="4">
        <v>4245088512</v>
      </c>
      <c r="B114" s="5"/>
      <c r="C114" s="9">
        <v>45777</v>
      </c>
      <c r="D114" s="12">
        <v>0.33628472222222222</v>
      </c>
      <c r="E114" s="4">
        <v>124</v>
      </c>
      <c r="F114" s="3" t="s">
        <v>121</v>
      </c>
      <c r="G114" s="3" t="s">
        <v>20</v>
      </c>
      <c r="H114" s="3" t="str">
        <f>CONCATENATE(Table278[[#This Row],[TIPO_CDR]]," ",Table278[[#This Row],[TRANSACCION]])</f>
        <v>SMS ENTRANTE</v>
      </c>
      <c r="AC114" s="3" t="s">
        <v>122</v>
      </c>
    </row>
    <row r="115" spans="1:29" ht="14.1" customHeight="1" x14ac:dyDescent="0.25">
      <c r="A115" s="4">
        <v>4245088512</v>
      </c>
      <c r="B115" s="5"/>
      <c r="C115" s="9">
        <v>45778</v>
      </c>
      <c r="D115" s="12">
        <v>0.37861111111111106</v>
      </c>
      <c r="E115" s="4">
        <v>153</v>
      </c>
      <c r="F115" s="3" t="s">
        <v>121</v>
      </c>
      <c r="G115" s="3" t="s">
        <v>20</v>
      </c>
      <c r="H115" s="3" t="str">
        <f>CONCATENATE(Table278[[#This Row],[TIPO_CDR]]," ",Table278[[#This Row],[TRANSACCION]])</f>
        <v>SMS ENTRANTE</v>
      </c>
      <c r="AC115" s="3" t="s">
        <v>29</v>
      </c>
    </row>
    <row r="116" spans="1:29" ht="14.1" customHeight="1" x14ac:dyDescent="0.25">
      <c r="A116" s="4">
        <v>4245088512</v>
      </c>
      <c r="B116" s="5"/>
      <c r="C116" s="9">
        <v>45778</v>
      </c>
      <c r="D116" s="12">
        <v>0.37863425925925925</v>
      </c>
      <c r="E116" s="4">
        <v>143</v>
      </c>
      <c r="F116" s="3" t="s">
        <v>121</v>
      </c>
      <c r="G116" s="3" t="s">
        <v>20</v>
      </c>
      <c r="H116" s="3" t="str">
        <f>CONCATENATE(Table278[[#This Row],[TIPO_CDR]]," ",Table278[[#This Row],[TRANSACCION]])</f>
        <v>SMS ENTRANTE</v>
      </c>
      <c r="AC116" s="3" t="s">
        <v>29</v>
      </c>
    </row>
    <row r="117" spans="1:29" ht="14.1" customHeight="1" x14ac:dyDescent="0.25">
      <c r="A117" s="4">
        <v>4245088512</v>
      </c>
      <c r="B117" s="5"/>
      <c r="C117" s="9">
        <v>45780</v>
      </c>
      <c r="D117" s="12">
        <v>0.6287152777777778</v>
      </c>
      <c r="E117" s="4">
        <v>153</v>
      </c>
      <c r="F117" s="3" t="s">
        <v>121</v>
      </c>
      <c r="G117" s="3" t="s">
        <v>20</v>
      </c>
      <c r="H117" s="3" t="str">
        <f>CONCATENATE(Table278[[#This Row],[TIPO_CDR]]," ",Table278[[#This Row],[TRANSACCION]])</f>
        <v>SMS ENTRANTE</v>
      </c>
      <c r="AC117" s="3" t="s">
        <v>29</v>
      </c>
    </row>
    <row r="118" spans="1:29" ht="14.1" customHeight="1" x14ac:dyDescent="0.25">
      <c r="A118" s="4">
        <v>4245088512</v>
      </c>
      <c r="B118" s="5"/>
      <c r="C118" s="9">
        <v>45780</v>
      </c>
      <c r="D118" s="12">
        <v>0.62873842592592599</v>
      </c>
      <c r="E118" s="4">
        <v>61</v>
      </c>
      <c r="F118" s="3" t="s">
        <v>121</v>
      </c>
      <c r="G118" s="3" t="s">
        <v>20</v>
      </c>
      <c r="H118" s="3" t="str">
        <f>CONCATENATE(Table278[[#This Row],[TIPO_CDR]]," ",Table278[[#This Row],[TRANSACCION]])</f>
        <v>SMS ENTRANTE</v>
      </c>
      <c r="AC118" s="3" t="s">
        <v>29</v>
      </c>
    </row>
    <row r="119" spans="1:29" ht="14.1" customHeight="1" x14ac:dyDescent="0.25">
      <c r="A119" s="4">
        <v>4245088512</v>
      </c>
      <c r="B119" s="5"/>
      <c r="C119" s="9">
        <v>45805</v>
      </c>
      <c r="D119" s="12">
        <v>0.50402777777777774</v>
      </c>
      <c r="E119" s="4">
        <v>154</v>
      </c>
      <c r="F119" s="3" t="s">
        <v>121</v>
      </c>
      <c r="G119" s="3" t="s">
        <v>20</v>
      </c>
      <c r="H119" s="3" t="str">
        <f>CONCATENATE(Table278[[#This Row],[TIPO_CDR]]," ",Table278[[#This Row],[TRANSACCION]])</f>
        <v>SMS ENTRANTE</v>
      </c>
      <c r="AC119" s="3" t="s">
        <v>220</v>
      </c>
    </row>
    <row r="120" spans="1:29" ht="14.1" customHeight="1" x14ac:dyDescent="0.25">
      <c r="A120" s="4">
        <v>4245088512</v>
      </c>
      <c r="B120" s="5"/>
      <c r="C120" s="9">
        <v>45805</v>
      </c>
      <c r="D120" s="12">
        <v>0.58717592592592593</v>
      </c>
      <c r="E120" s="4">
        <v>120</v>
      </c>
      <c r="F120" s="3" t="s">
        <v>121</v>
      </c>
      <c r="G120" s="3" t="s">
        <v>20</v>
      </c>
      <c r="H120" s="3" t="str">
        <f>CONCATENATE(Table278[[#This Row],[TIPO_CDR]]," ",Table278[[#This Row],[TRANSACCION]])</f>
        <v>SMS ENTRANTE</v>
      </c>
      <c r="AC120" s="3" t="s">
        <v>122</v>
      </c>
    </row>
    <row r="121" spans="1:29" ht="14.1" customHeight="1" x14ac:dyDescent="0.25">
      <c r="A121" s="4">
        <v>4245088512</v>
      </c>
      <c r="B121" s="5"/>
      <c r="C121" s="9">
        <v>45812</v>
      </c>
      <c r="D121" s="12">
        <v>0.37921296296296297</v>
      </c>
      <c r="E121" s="4">
        <v>148</v>
      </c>
      <c r="F121" s="3" t="s">
        <v>121</v>
      </c>
      <c r="G121" s="3" t="s">
        <v>20</v>
      </c>
      <c r="H121" s="3" t="str">
        <f>CONCATENATE(Table278[[#This Row],[TIPO_CDR]]," ",Table278[[#This Row],[TRANSACCION]])</f>
        <v>SMS ENTRANTE</v>
      </c>
      <c r="AC121" s="3" t="s">
        <v>29</v>
      </c>
    </row>
    <row r="122" spans="1:29" ht="14.1" customHeight="1" x14ac:dyDescent="0.25">
      <c r="A122" s="4">
        <v>4245088512</v>
      </c>
      <c r="B122" s="5"/>
      <c r="C122" s="9">
        <v>45814</v>
      </c>
      <c r="D122" s="12">
        <v>0.4626736111111111</v>
      </c>
      <c r="E122" s="4">
        <v>124</v>
      </c>
      <c r="F122" s="3" t="s">
        <v>121</v>
      </c>
      <c r="G122" s="3" t="s">
        <v>20</v>
      </c>
      <c r="H122" s="3" t="str">
        <f>CONCATENATE(Table278[[#This Row],[TIPO_CDR]]," ",Table278[[#This Row],[TRANSACCION]])</f>
        <v>SMS ENTRANTE</v>
      </c>
      <c r="AC122" s="3" t="s">
        <v>122</v>
      </c>
    </row>
    <row r="123" spans="1:29" ht="14.1" customHeight="1" x14ac:dyDescent="0.25">
      <c r="A123" s="4">
        <v>4245088512</v>
      </c>
      <c r="B123" s="5"/>
      <c r="C123" s="9">
        <v>45931</v>
      </c>
      <c r="D123" s="12">
        <v>0.46546296296296297</v>
      </c>
      <c r="E123" s="4">
        <v>153</v>
      </c>
      <c r="F123" s="3" t="s">
        <v>121</v>
      </c>
      <c r="G123" s="3" t="s">
        <v>20</v>
      </c>
      <c r="H123" s="3" t="str">
        <f>CONCATENATE(Table278[[#This Row],[TIPO_CDR]]," ",Table278[[#This Row],[TRANSACCION]])</f>
        <v>SMS ENTRANTE</v>
      </c>
      <c r="AC123" s="3" t="s">
        <v>158</v>
      </c>
    </row>
    <row r="124" spans="1:29" ht="14.1" customHeight="1" x14ac:dyDescent="0.25">
      <c r="A124" s="4">
        <v>4245088512</v>
      </c>
      <c r="B124" s="5"/>
      <c r="C124" s="9">
        <v>45931</v>
      </c>
      <c r="D124" s="12">
        <v>0.4654861111111111</v>
      </c>
      <c r="E124" s="4">
        <v>119</v>
      </c>
      <c r="F124" s="3" t="s">
        <v>121</v>
      </c>
      <c r="G124" s="3" t="s">
        <v>20</v>
      </c>
      <c r="H124" s="3" t="str">
        <f>CONCATENATE(Table278[[#This Row],[TIPO_CDR]]," ",Table278[[#This Row],[TRANSACCION]])</f>
        <v>SMS ENTRANTE</v>
      </c>
      <c r="AC124" s="3" t="s">
        <v>158</v>
      </c>
    </row>
    <row r="125" spans="1:29" ht="14.1" customHeight="1" x14ac:dyDescent="0.25">
      <c r="A125" s="4">
        <v>4245088512</v>
      </c>
      <c r="B125" s="5"/>
      <c r="C125" s="9">
        <v>45959</v>
      </c>
      <c r="D125" s="12">
        <v>0.42418981481481483</v>
      </c>
      <c r="E125" s="4">
        <v>133</v>
      </c>
      <c r="F125" s="3" t="s">
        <v>121</v>
      </c>
      <c r="G125" s="3" t="s">
        <v>20</v>
      </c>
      <c r="H125" s="3" t="str">
        <f>CONCATENATE(Table278[[#This Row],[TIPO_CDR]]," ",Table278[[#This Row],[TRANSACCION]])</f>
        <v>SMS ENTRANTE</v>
      </c>
      <c r="AC125" s="3" t="s">
        <v>220</v>
      </c>
    </row>
    <row r="126" spans="1:29" ht="14.1" customHeight="1" x14ac:dyDescent="0.25">
      <c r="A126" s="4">
        <v>4245088512</v>
      </c>
      <c r="B126" s="5"/>
      <c r="C126" s="9">
        <v>45992</v>
      </c>
      <c r="D126" s="12">
        <v>0.50885416666666672</v>
      </c>
      <c r="E126" s="4">
        <v>153</v>
      </c>
      <c r="F126" s="3" t="s">
        <v>121</v>
      </c>
      <c r="G126" s="3" t="s">
        <v>20</v>
      </c>
      <c r="H126" s="3" t="str">
        <f>CONCATENATE(Table278[[#This Row],[TIPO_CDR]]," ",Table278[[#This Row],[TRANSACCION]])</f>
        <v>SMS ENTRANTE</v>
      </c>
      <c r="AC126" s="3" t="s">
        <v>29</v>
      </c>
    </row>
    <row r="127" spans="1:29" ht="14.1" customHeight="1" x14ac:dyDescent="0.25">
      <c r="A127" s="4">
        <v>4245088512</v>
      </c>
      <c r="B127" s="5"/>
      <c r="C127" s="9">
        <v>45992</v>
      </c>
      <c r="D127" s="12">
        <v>0.5088773148148148</v>
      </c>
      <c r="E127" s="4">
        <v>96</v>
      </c>
      <c r="F127" s="3" t="s">
        <v>121</v>
      </c>
      <c r="G127" s="3" t="s">
        <v>20</v>
      </c>
      <c r="H127" s="3" t="str">
        <f>CONCATENATE(Table278[[#This Row],[TIPO_CDR]]," ",Table278[[#This Row],[TRANSACCION]])</f>
        <v>SMS ENTRANTE</v>
      </c>
      <c r="AC127" s="3" t="s">
        <v>29</v>
      </c>
    </row>
    <row r="128" spans="1:29" ht="14.1" customHeight="1" x14ac:dyDescent="0.25">
      <c r="A128" s="4">
        <v>4245088512</v>
      </c>
      <c r="B128" s="5"/>
      <c r="C128" s="9">
        <v>45994</v>
      </c>
      <c r="D128" s="12">
        <v>0.46681712962962968</v>
      </c>
      <c r="E128" s="4">
        <v>153</v>
      </c>
      <c r="F128" s="3" t="s">
        <v>121</v>
      </c>
      <c r="G128" s="3" t="s">
        <v>20</v>
      </c>
      <c r="H128" s="3" t="str">
        <f>CONCATENATE(Table278[[#This Row],[TIPO_CDR]]," ",Table278[[#This Row],[TRANSACCION]])</f>
        <v>SMS ENTRANTE</v>
      </c>
      <c r="AC128" s="3" t="s">
        <v>29</v>
      </c>
    </row>
    <row r="129" spans="1:29" ht="14.1" customHeight="1" x14ac:dyDescent="0.25">
      <c r="A129" s="4">
        <v>4245088512</v>
      </c>
      <c r="B129" s="5"/>
      <c r="C129" s="9">
        <v>45994</v>
      </c>
      <c r="D129" s="12">
        <v>0.46684027777777781</v>
      </c>
      <c r="E129" s="4">
        <v>145</v>
      </c>
      <c r="F129" s="3" t="s">
        <v>121</v>
      </c>
      <c r="G129" s="3" t="s">
        <v>20</v>
      </c>
      <c r="H129" s="3" t="str">
        <f>CONCATENATE(Table278[[#This Row],[TIPO_CDR]]," ",Table278[[#This Row],[TRANSACCION]])</f>
        <v>SMS ENTRANTE</v>
      </c>
      <c r="AC129" s="3" t="s">
        <v>29</v>
      </c>
    </row>
    <row r="130" spans="1:29" ht="14.1" customHeight="1" x14ac:dyDescent="0.25">
      <c r="A130" s="4">
        <v>4245088512</v>
      </c>
      <c r="B130" s="5"/>
      <c r="C130" s="9">
        <v>46000</v>
      </c>
      <c r="D130" s="12">
        <v>0.4253703703703704</v>
      </c>
      <c r="E130" s="4">
        <v>153</v>
      </c>
      <c r="F130" s="3" t="s">
        <v>121</v>
      </c>
      <c r="G130" s="3" t="s">
        <v>20</v>
      </c>
      <c r="H130" s="3" t="str">
        <f>CONCATENATE(Table278[[#This Row],[TIPO_CDR]]," ",Table278[[#This Row],[TRANSACCION]])</f>
        <v>SMS ENTRANTE</v>
      </c>
      <c r="AC130" s="3" t="s">
        <v>29</v>
      </c>
    </row>
    <row r="131" spans="1:29" ht="14.1" customHeight="1" x14ac:dyDescent="0.25">
      <c r="A131" s="4">
        <v>4245088512</v>
      </c>
      <c r="B131" s="5"/>
      <c r="C131" s="9">
        <v>46000</v>
      </c>
      <c r="D131" s="12">
        <v>0.42539351851851853</v>
      </c>
      <c r="E131" s="4">
        <v>145</v>
      </c>
      <c r="F131" s="3" t="s">
        <v>121</v>
      </c>
      <c r="G131" s="3" t="s">
        <v>20</v>
      </c>
      <c r="H131" s="3" t="str">
        <f>CONCATENATE(Table278[[#This Row],[TIPO_CDR]]," ",Table278[[#This Row],[TRANSACCION]])</f>
        <v>SMS ENTRANTE</v>
      </c>
      <c r="AC131" s="3" t="s">
        <v>29</v>
      </c>
    </row>
    <row r="132" spans="1:29" ht="14.1" customHeight="1" x14ac:dyDescent="0.25">
      <c r="A132" s="4">
        <v>4245088512</v>
      </c>
      <c r="B132" s="5"/>
      <c r="C132" s="9">
        <v>46027</v>
      </c>
      <c r="D132" s="12">
        <v>0.41740740740740739</v>
      </c>
      <c r="E132" s="4">
        <v>153</v>
      </c>
      <c r="F132" s="3" t="s">
        <v>121</v>
      </c>
      <c r="G132" s="3" t="s">
        <v>20</v>
      </c>
      <c r="H132" s="3" t="str">
        <f>CONCATENATE(Table278[[#This Row],[TIPO_CDR]]," ",Table278[[#This Row],[TRANSACCION]])</f>
        <v>SMS ENTRANTE</v>
      </c>
      <c r="AC132" s="3" t="s">
        <v>29</v>
      </c>
    </row>
    <row r="133" spans="1:29" ht="14.1" customHeight="1" x14ac:dyDescent="0.25">
      <c r="A133" s="4">
        <v>4245088512</v>
      </c>
      <c r="B133" s="5"/>
      <c r="C133" s="9">
        <v>46027</v>
      </c>
      <c r="D133" s="12">
        <v>0.41743055555555553</v>
      </c>
      <c r="E133" s="4">
        <v>127</v>
      </c>
      <c r="F133" s="3" t="s">
        <v>121</v>
      </c>
      <c r="G133" s="3" t="s">
        <v>20</v>
      </c>
      <c r="H133" s="3" t="str">
        <f>CONCATENATE(Table278[[#This Row],[TIPO_CDR]]," ",Table278[[#This Row],[TRANSACCION]])</f>
        <v>SMS ENTRANTE</v>
      </c>
      <c r="AC133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opLeftCell="B48" workbookViewId="0">
      <selection activeCell="A16" sqref="A16:H68"/>
    </sheetView>
  </sheetViews>
  <sheetFormatPr baseColWidth="10" defaultColWidth="9.140625" defaultRowHeight="15" x14ac:dyDescent="0.25"/>
  <cols>
    <col min="1" max="1" width="30.7109375" customWidth="1"/>
    <col min="2" max="2" width="25.7109375" customWidth="1"/>
    <col min="3" max="11" width="20.7109375" customWidth="1"/>
  </cols>
  <sheetData>
    <row r="1" spans="1:8" x14ac:dyDescent="0.25">
      <c r="A1" s="1" t="s">
        <v>0</v>
      </c>
    </row>
    <row r="2" spans="1:8" x14ac:dyDescent="0.25">
      <c r="A2" s="1" t="s">
        <v>115</v>
      </c>
    </row>
    <row r="4" spans="1:8" x14ac:dyDescent="0.25">
      <c r="A4" s="2" t="s">
        <v>2</v>
      </c>
      <c r="B4" s="2">
        <v>114914</v>
      </c>
    </row>
    <row r="5" spans="1:8" x14ac:dyDescent="0.25">
      <c r="A5" s="2" t="s">
        <v>3</v>
      </c>
      <c r="B5" s="2" t="s">
        <v>4</v>
      </c>
    </row>
    <row r="6" spans="1:8" x14ac:dyDescent="0.25">
      <c r="A6" s="2" t="s">
        <v>5</v>
      </c>
      <c r="B6" s="2" t="s">
        <v>6</v>
      </c>
    </row>
    <row r="7" spans="1:8" x14ac:dyDescent="0.25">
      <c r="A7" s="2" t="s">
        <v>7</v>
      </c>
      <c r="B7" s="2" t="s">
        <v>8</v>
      </c>
    </row>
    <row r="8" spans="1:8" x14ac:dyDescent="0.25">
      <c r="A8" s="2" t="s">
        <v>9</v>
      </c>
      <c r="B8" s="2" t="s">
        <v>4</v>
      </c>
    </row>
    <row r="9" spans="1:8" ht="25.5" x14ac:dyDescent="0.25">
      <c r="A9" s="2" t="s">
        <v>10</v>
      </c>
      <c r="B9" s="2" t="s">
        <v>11</v>
      </c>
    </row>
    <row r="10" spans="1:8" x14ac:dyDescent="0.25">
      <c r="A10" s="2" t="s">
        <v>116</v>
      </c>
      <c r="B10" s="2">
        <v>53</v>
      </c>
    </row>
    <row r="13" spans="1:8" x14ac:dyDescent="0.25">
      <c r="A13" s="1" t="s">
        <v>13</v>
      </c>
    </row>
    <row r="15" spans="1:8" x14ac:dyDescent="0.25">
      <c r="A15" t="s">
        <v>86</v>
      </c>
      <c r="B15" t="s">
        <v>87</v>
      </c>
      <c r="C15" t="s">
        <v>88</v>
      </c>
      <c r="D15" t="s">
        <v>89</v>
      </c>
      <c r="E15" t="s">
        <v>250</v>
      </c>
      <c r="F15" t="s">
        <v>91</v>
      </c>
      <c r="G15" t="s">
        <v>92</v>
      </c>
      <c r="H15" t="s">
        <v>251</v>
      </c>
    </row>
    <row r="16" spans="1:8" x14ac:dyDescent="0.25">
      <c r="A16" s="3" t="s">
        <v>117</v>
      </c>
      <c r="B16" s="3" t="s">
        <v>15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20</v>
      </c>
      <c r="H16" s="3" t="s">
        <v>122</v>
      </c>
    </row>
    <row r="17" spans="1:8" x14ac:dyDescent="0.25">
      <c r="A17" s="3" t="s">
        <v>123</v>
      </c>
      <c r="B17" s="3" t="s">
        <v>15</v>
      </c>
      <c r="C17" s="3" t="s">
        <v>124</v>
      </c>
      <c r="D17" s="3" t="s">
        <v>125</v>
      </c>
      <c r="E17" s="3" t="s">
        <v>126</v>
      </c>
      <c r="F17" s="3" t="s">
        <v>121</v>
      </c>
      <c r="G17" s="3" t="s">
        <v>20</v>
      </c>
      <c r="H17" s="3" t="s">
        <v>127</v>
      </c>
    </row>
    <row r="18" spans="1:8" x14ac:dyDescent="0.25">
      <c r="A18" s="3" t="s">
        <v>123</v>
      </c>
      <c r="B18" s="3" t="s">
        <v>15</v>
      </c>
      <c r="C18" s="3" t="s">
        <v>124</v>
      </c>
      <c r="D18" s="3" t="s">
        <v>128</v>
      </c>
      <c r="E18" s="3" t="s">
        <v>126</v>
      </c>
      <c r="F18" s="3" t="s">
        <v>121</v>
      </c>
      <c r="G18" s="3" t="s">
        <v>20</v>
      </c>
      <c r="H18" s="3" t="s">
        <v>127</v>
      </c>
    </row>
    <row r="19" spans="1:8" x14ac:dyDescent="0.25">
      <c r="A19" s="3" t="s">
        <v>129</v>
      </c>
      <c r="B19" s="3" t="s">
        <v>15</v>
      </c>
      <c r="C19" s="3" t="s">
        <v>124</v>
      </c>
      <c r="D19" s="3" t="s">
        <v>130</v>
      </c>
      <c r="E19" s="3" t="s">
        <v>131</v>
      </c>
      <c r="F19" s="3" t="s">
        <v>121</v>
      </c>
      <c r="G19" s="3" t="s">
        <v>20</v>
      </c>
      <c r="H19" s="3" t="s">
        <v>122</v>
      </c>
    </row>
    <row r="20" spans="1:8" x14ac:dyDescent="0.25">
      <c r="A20" s="3" t="s">
        <v>129</v>
      </c>
      <c r="B20" s="3" t="s">
        <v>15</v>
      </c>
      <c r="C20" s="3" t="s">
        <v>132</v>
      </c>
      <c r="D20" s="3" t="s">
        <v>133</v>
      </c>
      <c r="E20" s="3" t="s">
        <v>134</v>
      </c>
      <c r="F20" s="3" t="s">
        <v>121</v>
      </c>
      <c r="G20" s="3" t="s">
        <v>20</v>
      </c>
      <c r="H20" s="3" t="s">
        <v>122</v>
      </c>
    </row>
    <row r="21" spans="1:8" x14ac:dyDescent="0.25">
      <c r="A21" s="3" t="s">
        <v>117</v>
      </c>
      <c r="B21" s="3" t="s">
        <v>15</v>
      </c>
      <c r="C21" s="3" t="s">
        <v>135</v>
      </c>
      <c r="D21" s="3" t="s">
        <v>136</v>
      </c>
      <c r="E21" s="3" t="s">
        <v>137</v>
      </c>
      <c r="F21" s="3" t="s">
        <v>121</v>
      </c>
      <c r="G21" s="3" t="s">
        <v>20</v>
      </c>
      <c r="H21" s="3" t="s">
        <v>122</v>
      </c>
    </row>
    <row r="22" spans="1:8" x14ac:dyDescent="0.25">
      <c r="A22" s="3" t="s">
        <v>129</v>
      </c>
      <c r="B22" s="3" t="s">
        <v>15</v>
      </c>
      <c r="C22" s="3" t="s">
        <v>138</v>
      </c>
      <c r="D22" s="3" t="s">
        <v>139</v>
      </c>
      <c r="E22" s="3" t="s">
        <v>134</v>
      </c>
      <c r="F22" s="3" t="s">
        <v>121</v>
      </c>
      <c r="G22" s="3" t="s">
        <v>20</v>
      </c>
      <c r="H22" s="3" t="s">
        <v>122</v>
      </c>
    </row>
    <row r="23" spans="1:8" x14ac:dyDescent="0.25">
      <c r="A23" s="3" t="s">
        <v>117</v>
      </c>
      <c r="B23" s="3" t="s">
        <v>15</v>
      </c>
      <c r="C23" s="3" t="s">
        <v>140</v>
      </c>
      <c r="D23" s="3" t="s">
        <v>141</v>
      </c>
      <c r="E23" s="3" t="s">
        <v>142</v>
      </c>
      <c r="F23" s="3" t="s">
        <v>121</v>
      </c>
      <c r="G23" s="3" t="s">
        <v>20</v>
      </c>
      <c r="H23" s="3" t="s">
        <v>122</v>
      </c>
    </row>
    <row r="24" spans="1:8" x14ac:dyDescent="0.25">
      <c r="A24" s="3" t="s">
        <v>129</v>
      </c>
      <c r="B24" s="3" t="s">
        <v>15</v>
      </c>
      <c r="C24" s="3" t="s">
        <v>143</v>
      </c>
      <c r="D24" s="3" t="s">
        <v>144</v>
      </c>
      <c r="E24" s="3" t="s">
        <v>145</v>
      </c>
      <c r="F24" s="3" t="s">
        <v>121</v>
      </c>
      <c r="G24" s="3" t="s">
        <v>20</v>
      </c>
      <c r="H24" s="3" t="s">
        <v>122</v>
      </c>
    </row>
    <row r="25" spans="1:8" x14ac:dyDescent="0.25">
      <c r="A25" s="3" t="s">
        <v>146</v>
      </c>
      <c r="B25" s="3" t="s">
        <v>15</v>
      </c>
      <c r="C25" s="3" t="s">
        <v>143</v>
      </c>
      <c r="D25" s="3" t="s">
        <v>147</v>
      </c>
      <c r="E25" s="3" t="s">
        <v>148</v>
      </c>
      <c r="F25" s="3" t="s">
        <v>121</v>
      </c>
      <c r="G25" s="3" t="s">
        <v>20</v>
      </c>
      <c r="H25" s="3" t="s">
        <v>29</v>
      </c>
    </row>
    <row r="26" spans="1:8" x14ac:dyDescent="0.25">
      <c r="A26" s="3" t="s">
        <v>146</v>
      </c>
      <c r="B26" s="3" t="s">
        <v>15</v>
      </c>
      <c r="C26" s="3" t="s">
        <v>143</v>
      </c>
      <c r="D26" s="3" t="s">
        <v>149</v>
      </c>
      <c r="E26" s="3" t="s">
        <v>150</v>
      </c>
      <c r="F26" s="3" t="s">
        <v>121</v>
      </c>
      <c r="G26" s="3" t="s">
        <v>20</v>
      </c>
      <c r="H26" s="3" t="s">
        <v>29</v>
      </c>
    </row>
    <row r="27" spans="1:8" x14ac:dyDescent="0.25">
      <c r="A27" s="3" t="s">
        <v>117</v>
      </c>
      <c r="B27" s="3" t="s">
        <v>15</v>
      </c>
      <c r="C27" s="3" t="s">
        <v>151</v>
      </c>
      <c r="D27" s="3" t="s">
        <v>152</v>
      </c>
      <c r="E27" s="3" t="s">
        <v>153</v>
      </c>
      <c r="F27" s="3" t="s">
        <v>121</v>
      </c>
      <c r="G27" s="3" t="s">
        <v>20</v>
      </c>
      <c r="H27" s="3" t="s">
        <v>122</v>
      </c>
    </row>
    <row r="28" spans="1:8" x14ac:dyDescent="0.25">
      <c r="A28" s="3" t="s">
        <v>154</v>
      </c>
      <c r="B28" s="3" t="s">
        <v>15</v>
      </c>
      <c r="C28" s="3" t="s">
        <v>155</v>
      </c>
      <c r="D28" s="3" t="s">
        <v>156</v>
      </c>
      <c r="E28" s="3" t="s">
        <v>157</v>
      </c>
      <c r="F28" s="3" t="s">
        <v>121</v>
      </c>
      <c r="G28" s="3" t="s">
        <v>20</v>
      </c>
      <c r="H28" s="3" t="s">
        <v>158</v>
      </c>
    </row>
    <row r="29" spans="1:8" x14ac:dyDescent="0.25">
      <c r="A29" s="3" t="s">
        <v>159</v>
      </c>
      <c r="B29" s="3" t="s">
        <v>15</v>
      </c>
      <c r="C29" s="3" t="s">
        <v>160</v>
      </c>
      <c r="D29" s="3" t="s">
        <v>161</v>
      </c>
      <c r="E29" s="3" t="s">
        <v>162</v>
      </c>
      <c r="F29" s="3" t="s">
        <v>121</v>
      </c>
      <c r="G29" s="3" t="s">
        <v>20</v>
      </c>
      <c r="H29" s="3" t="s">
        <v>122</v>
      </c>
    </row>
    <row r="30" spans="1:8" x14ac:dyDescent="0.25">
      <c r="A30" s="3" t="s">
        <v>129</v>
      </c>
      <c r="B30" s="3" t="s">
        <v>15</v>
      </c>
      <c r="C30" s="3" t="s">
        <v>163</v>
      </c>
      <c r="D30" s="3" t="s">
        <v>164</v>
      </c>
      <c r="E30" s="3" t="s">
        <v>131</v>
      </c>
      <c r="F30" s="3" t="s">
        <v>121</v>
      </c>
      <c r="G30" s="3" t="s">
        <v>20</v>
      </c>
      <c r="H30" s="3" t="s">
        <v>122</v>
      </c>
    </row>
    <row r="31" spans="1:8" x14ac:dyDescent="0.25">
      <c r="A31" s="3" t="s">
        <v>117</v>
      </c>
      <c r="B31" s="3" t="s">
        <v>15</v>
      </c>
      <c r="C31" s="3" t="s">
        <v>165</v>
      </c>
      <c r="D31" s="3" t="s">
        <v>166</v>
      </c>
      <c r="E31" s="3" t="s">
        <v>167</v>
      </c>
      <c r="F31" s="3" t="s">
        <v>121</v>
      </c>
      <c r="G31" s="3" t="s">
        <v>20</v>
      </c>
      <c r="H31" s="3" t="s">
        <v>122</v>
      </c>
    </row>
    <row r="32" spans="1:8" x14ac:dyDescent="0.25">
      <c r="A32" s="3" t="s">
        <v>117</v>
      </c>
      <c r="B32" s="3" t="s">
        <v>15</v>
      </c>
      <c r="C32" s="3" t="s">
        <v>168</v>
      </c>
      <c r="D32" s="3" t="s">
        <v>169</v>
      </c>
      <c r="E32" s="3" t="s">
        <v>170</v>
      </c>
      <c r="F32" s="3" t="s">
        <v>121</v>
      </c>
      <c r="G32" s="3" t="s">
        <v>20</v>
      </c>
      <c r="H32" s="3" t="s">
        <v>122</v>
      </c>
    </row>
    <row r="33" spans="1:8" x14ac:dyDescent="0.25">
      <c r="A33" s="3" t="s">
        <v>129</v>
      </c>
      <c r="B33" s="3" t="s">
        <v>15</v>
      </c>
      <c r="C33" s="3" t="s">
        <v>171</v>
      </c>
      <c r="D33" s="3" t="s">
        <v>172</v>
      </c>
      <c r="E33" s="3" t="s">
        <v>173</v>
      </c>
      <c r="F33" s="3" t="s">
        <v>121</v>
      </c>
      <c r="G33" s="3" t="s">
        <v>20</v>
      </c>
      <c r="H33" s="3" t="s">
        <v>122</v>
      </c>
    </row>
    <row r="34" spans="1:8" x14ac:dyDescent="0.25">
      <c r="A34" s="3" t="s">
        <v>129</v>
      </c>
      <c r="B34" s="3" t="s">
        <v>15</v>
      </c>
      <c r="C34" s="3" t="s">
        <v>171</v>
      </c>
      <c r="D34" s="3" t="s">
        <v>174</v>
      </c>
      <c r="E34" s="3" t="s">
        <v>175</v>
      </c>
      <c r="F34" s="3" t="s">
        <v>121</v>
      </c>
      <c r="G34" s="3" t="s">
        <v>20</v>
      </c>
      <c r="H34" s="3" t="s">
        <v>122</v>
      </c>
    </row>
    <row r="35" spans="1:8" x14ac:dyDescent="0.25">
      <c r="A35" s="3" t="s">
        <v>117</v>
      </c>
      <c r="B35" s="3" t="s">
        <v>15</v>
      </c>
      <c r="C35" s="3" t="s">
        <v>176</v>
      </c>
      <c r="D35" s="3" t="s">
        <v>177</v>
      </c>
      <c r="E35" s="3" t="s">
        <v>178</v>
      </c>
      <c r="F35" s="3" t="s">
        <v>121</v>
      </c>
      <c r="G35" s="3" t="s">
        <v>20</v>
      </c>
      <c r="H35" s="3" t="s">
        <v>122</v>
      </c>
    </row>
    <row r="36" spans="1:8" x14ac:dyDescent="0.25">
      <c r="A36" s="3" t="s">
        <v>117</v>
      </c>
      <c r="B36" s="3" t="s">
        <v>15</v>
      </c>
      <c r="C36" s="3" t="s">
        <v>179</v>
      </c>
      <c r="D36" s="3" t="s">
        <v>180</v>
      </c>
      <c r="E36" s="3" t="s">
        <v>181</v>
      </c>
      <c r="F36" s="3" t="s">
        <v>121</v>
      </c>
      <c r="G36" s="3" t="s">
        <v>20</v>
      </c>
      <c r="H36" s="3" t="s">
        <v>122</v>
      </c>
    </row>
    <row r="37" spans="1:8" x14ac:dyDescent="0.25">
      <c r="A37" s="3" t="s">
        <v>129</v>
      </c>
      <c r="B37" s="3" t="s">
        <v>15</v>
      </c>
      <c r="C37" s="3" t="s">
        <v>179</v>
      </c>
      <c r="D37" s="3" t="s">
        <v>182</v>
      </c>
      <c r="E37" s="3" t="s">
        <v>183</v>
      </c>
      <c r="F37" s="3" t="s">
        <v>121</v>
      </c>
      <c r="G37" s="3" t="s">
        <v>20</v>
      </c>
      <c r="H37" s="3" t="s">
        <v>122</v>
      </c>
    </row>
    <row r="38" spans="1:8" x14ac:dyDescent="0.25">
      <c r="A38" s="3" t="s">
        <v>123</v>
      </c>
      <c r="B38" s="3" t="s">
        <v>15</v>
      </c>
      <c r="C38" s="3" t="s">
        <v>184</v>
      </c>
      <c r="D38" s="3" t="s">
        <v>185</v>
      </c>
      <c r="E38" s="3" t="s">
        <v>18</v>
      </c>
      <c r="F38" s="3" t="s">
        <v>121</v>
      </c>
      <c r="G38" s="3" t="s">
        <v>20</v>
      </c>
      <c r="H38" s="3" t="s">
        <v>127</v>
      </c>
    </row>
    <row r="39" spans="1:8" x14ac:dyDescent="0.25">
      <c r="A39" s="3" t="s">
        <v>123</v>
      </c>
      <c r="B39" s="3" t="s">
        <v>15</v>
      </c>
      <c r="C39" s="3" t="s">
        <v>184</v>
      </c>
      <c r="D39" s="3" t="s">
        <v>186</v>
      </c>
      <c r="E39" s="3" t="s">
        <v>187</v>
      </c>
      <c r="F39" s="3" t="s">
        <v>121</v>
      </c>
      <c r="G39" s="3" t="s">
        <v>20</v>
      </c>
      <c r="H39" s="3" t="s">
        <v>127</v>
      </c>
    </row>
    <row r="40" spans="1:8" x14ac:dyDescent="0.25">
      <c r="A40" s="3" t="s">
        <v>129</v>
      </c>
      <c r="B40" s="3" t="s">
        <v>15</v>
      </c>
      <c r="C40" s="3" t="s">
        <v>188</v>
      </c>
      <c r="D40" s="3" t="s">
        <v>189</v>
      </c>
      <c r="E40" s="3" t="s">
        <v>131</v>
      </c>
      <c r="F40" s="3" t="s">
        <v>121</v>
      </c>
      <c r="G40" s="3" t="s">
        <v>20</v>
      </c>
      <c r="H40" s="3" t="s">
        <v>122</v>
      </c>
    </row>
    <row r="41" spans="1:8" x14ac:dyDescent="0.25">
      <c r="A41" s="3" t="s">
        <v>117</v>
      </c>
      <c r="B41" s="3" t="s">
        <v>15</v>
      </c>
      <c r="C41" s="3" t="s">
        <v>190</v>
      </c>
      <c r="D41" s="3" t="s">
        <v>191</v>
      </c>
      <c r="E41" s="3" t="s">
        <v>181</v>
      </c>
      <c r="F41" s="3" t="s">
        <v>121</v>
      </c>
      <c r="G41" s="3" t="s">
        <v>20</v>
      </c>
      <c r="H41" s="3" t="s">
        <v>122</v>
      </c>
    </row>
    <row r="42" spans="1:8" x14ac:dyDescent="0.25">
      <c r="A42" s="3" t="s">
        <v>129</v>
      </c>
      <c r="B42" s="3" t="s">
        <v>15</v>
      </c>
      <c r="C42" s="3" t="s">
        <v>192</v>
      </c>
      <c r="D42" s="3" t="s">
        <v>193</v>
      </c>
      <c r="E42" s="3" t="s">
        <v>142</v>
      </c>
      <c r="F42" s="3" t="s">
        <v>121</v>
      </c>
      <c r="G42" s="3" t="s">
        <v>20</v>
      </c>
      <c r="H42" s="3" t="s">
        <v>122</v>
      </c>
    </row>
    <row r="43" spans="1:8" x14ac:dyDescent="0.25">
      <c r="A43" s="3" t="s">
        <v>154</v>
      </c>
      <c r="B43" s="3" t="s">
        <v>15</v>
      </c>
      <c r="C43" s="3" t="s">
        <v>194</v>
      </c>
      <c r="D43" s="3" t="s">
        <v>195</v>
      </c>
      <c r="E43" s="3" t="s">
        <v>148</v>
      </c>
      <c r="F43" s="3" t="s">
        <v>121</v>
      </c>
      <c r="G43" s="3" t="s">
        <v>20</v>
      </c>
      <c r="H43" s="3" t="s">
        <v>158</v>
      </c>
    </row>
    <row r="44" spans="1:8" x14ac:dyDescent="0.25">
      <c r="A44" s="3" t="s">
        <v>154</v>
      </c>
      <c r="B44" s="3" t="s">
        <v>15</v>
      </c>
      <c r="C44" s="3" t="s">
        <v>194</v>
      </c>
      <c r="D44" s="3" t="s">
        <v>196</v>
      </c>
      <c r="E44" s="3" t="s">
        <v>197</v>
      </c>
      <c r="F44" s="3" t="s">
        <v>121</v>
      </c>
      <c r="G44" s="3" t="s">
        <v>20</v>
      </c>
      <c r="H44" s="3" t="s">
        <v>158</v>
      </c>
    </row>
    <row r="45" spans="1:8" x14ac:dyDescent="0.25">
      <c r="A45" s="3" t="s">
        <v>117</v>
      </c>
      <c r="B45" s="3" t="s">
        <v>15</v>
      </c>
      <c r="C45" s="3" t="s">
        <v>198</v>
      </c>
      <c r="D45" s="3" t="s">
        <v>195</v>
      </c>
      <c r="E45" s="3" t="s">
        <v>181</v>
      </c>
      <c r="F45" s="3" t="s">
        <v>121</v>
      </c>
      <c r="G45" s="3" t="s">
        <v>20</v>
      </c>
      <c r="H45" s="3" t="s">
        <v>122</v>
      </c>
    </row>
    <row r="46" spans="1:8" x14ac:dyDescent="0.25">
      <c r="A46" s="3" t="s">
        <v>117</v>
      </c>
      <c r="B46" s="3" t="s">
        <v>15</v>
      </c>
      <c r="C46" s="3" t="s">
        <v>199</v>
      </c>
      <c r="D46" s="3" t="s">
        <v>200</v>
      </c>
      <c r="E46" s="3" t="s">
        <v>178</v>
      </c>
      <c r="F46" s="3" t="s">
        <v>121</v>
      </c>
      <c r="G46" s="3" t="s">
        <v>20</v>
      </c>
      <c r="H46" s="3" t="s">
        <v>122</v>
      </c>
    </row>
    <row r="47" spans="1:8" x14ac:dyDescent="0.25">
      <c r="A47" s="3" t="s">
        <v>129</v>
      </c>
      <c r="B47" s="3" t="s">
        <v>15</v>
      </c>
      <c r="C47" s="3" t="s">
        <v>201</v>
      </c>
      <c r="D47" s="3" t="s">
        <v>202</v>
      </c>
      <c r="E47" s="3" t="s">
        <v>203</v>
      </c>
      <c r="F47" s="3" t="s">
        <v>121</v>
      </c>
      <c r="G47" s="3" t="s">
        <v>20</v>
      </c>
      <c r="H47" s="3" t="s">
        <v>122</v>
      </c>
    </row>
    <row r="48" spans="1:8" x14ac:dyDescent="0.25">
      <c r="A48" s="3" t="s">
        <v>117</v>
      </c>
      <c r="B48" s="3" t="s">
        <v>15</v>
      </c>
      <c r="C48" s="3" t="s">
        <v>204</v>
      </c>
      <c r="D48" s="3" t="s">
        <v>205</v>
      </c>
      <c r="E48" s="3" t="s">
        <v>44</v>
      </c>
      <c r="F48" s="3" t="s">
        <v>121</v>
      </c>
      <c r="G48" s="3" t="s">
        <v>20</v>
      </c>
      <c r="H48" s="3" t="s">
        <v>122</v>
      </c>
    </row>
    <row r="49" spans="1:8" x14ac:dyDescent="0.25">
      <c r="A49" s="3" t="s">
        <v>129</v>
      </c>
      <c r="B49" s="3" t="s">
        <v>15</v>
      </c>
      <c r="C49" s="3" t="s">
        <v>206</v>
      </c>
      <c r="D49" s="3" t="s">
        <v>207</v>
      </c>
      <c r="E49" s="3" t="s">
        <v>145</v>
      </c>
      <c r="F49" s="3" t="s">
        <v>121</v>
      </c>
      <c r="G49" s="3" t="s">
        <v>20</v>
      </c>
      <c r="H49" s="3" t="s">
        <v>122</v>
      </c>
    </row>
    <row r="50" spans="1:8" x14ac:dyDescent="0.25">
      <c r="A50" s="3" t="s">
        <v>146</v>
      </c>
      <c r="B50" s="3" t="s">
        <v>15</v>
      </c>
      <c r="C50" s="3" t="s">
        <v>208</v>
      </c>
      <c r="D50" s="3" t="s">
        <v>209</v>
      </c>
      <c r="E50" s="3" t="s">
        <v>148</v>
      </c>
      <c r="F50" s="3" t="s">
        <v>121</v>
      </c>
      <c r="G50" s="3" t="s">
        <v>20</v>
      </c>
      <c r="H50" s="3" t="s">
        <v>29</v>
      </c>
    </row>
    <row r="51" spans="1:8" x14ac:dyDescent="0.25">
      <c r="A51" s="3" t="s">
        <v>146</v>
      </c>
      <c r="B51" s="3" t="s">
        <v>15</v>
      </c>
      <c r="C51" s="3" t="s">
        <v>208</v>
      </c>
      <c r="D51" s="3" t="s">
        <v>210</v>
      </c>
      <c r="E51" s="3" t="s">
        <v>197</v>
      </c>
      <c r="F51" s="3" t="s">
        <v>121</v>
      </c>
      <c r="G51" s="3" t="s">
        <v>20</v>
      </c>
      <c r="H51" s="3" t="s">
        <v>29</v>
      </c>
    </row>
    <row r="52" spans="1:8" x14ac:dyDescent="0.25">
      <c r="A52" s="3" t="s">
        <v>211</v>
      </c>
      <c r="B52" s="3" t="s">
        <v>15</v>
      </c>
      <c r="C52" s="3" t="s">
        <v>212</v>
      </c>
      <c r="D52" s="3" t="s">
        <v>213</v>
      </c>
      <c r="E52" s="3" t="s">
        <v>148</v>
      </c>
      <c r="F52" s="3" t="s">
        <v>121</v>
      </c>
      <c r="G52" s="3" t="s">
        <v>20</v>
      </c>
      <c r="H52" s="3" t="s">
        <v>29</v>
      </c>
    </row>
    <row r="53" spans="1:8" x14ac:dyDescent="0.25">
      <c r="A53" s="3" t="s">
        <v>211</v>
      </c>
      <c r="B53" s="3" t="s">
        <v>15</v>
      </c>
      <c r="C53" s="3" t="s">
        <v>212</v>
      </c>
      <c r="D53" s="3" t="s">
        <v>214</v>
      </c>
      <c r="E53" s="3" t="s">
        <v>215</v>
      </c>
      <c r="F53" s="3" t="s">
        <v>121</v>
      </c>
      <c r="G53" s="3" t="s">
        <v>20</v>
      </c>
      <c r="H53" s="3" t="s">
        <v>29</v>
      </c>
    </row>
    <row r="54" spans="1:8" x14ac:dyDescent="0.25">
      <c r="A54" s="3" t="s">
        <v>216</v>
      </c>
      <c r="B54" s="3" t="s">
        <v>15</v>
      </c>
      <c r="C54" s="3" t="s">
        <v>217</v>
      </c>
      <c r="D54" s="3" t="s">
        <v>218</v>
      </c>
      <c r="E54" s="3" t="s">
        <v>219</v>
      </c>
      <c r="F54" s="3" t="s">
        <v>121</v>
      </c>
      <c r="G54" s="3" t="s">
        <v>20</v>
      </c>
      <c r="H54" s="3" t="s">
        <v>220</v>
      </c>
    </row>
    <row r="55" spans="1:8" x14ac:dyDescent="0.25">
      <c r="A55" s="3" t="s">
        <v>129</v>
      </c>
      <c r="B55" s="3" t="s">
        <v>15</v>
      </c>
      <c r="C55" s="3" t="s">
        <v>217</v>
      </c>
      <c r="D55" s="3" t="s">
        <v>221</v>
      </c>
      <c r="E55" s="3" t="s">
        <v>222</v>
      </c>
      <c r="F55" s="3" t="s">
        <v>121</v>
      </c>
      <c r="G55" s="3" t="s">
        <v>20</v>
      </c>
      <c r="H55" s="3" t="s">
        <v>122</v>
      </c>
    </row>
    <row r="56" spans="1:8" x14ac:dyDescent="0.25">
      <c r="A56" s="3" t="s">
        <v>223</v>
      </c>
      <c r="B56" s="3" t="s">
        <v>15</v>
      </c>
      <c r="C56" s="3" t="s">
        <v>224</v>
      </c>
      <c r="D56" s="3" t="s">
        <v>225</v>
      </c>
      <c r="E56" s="3" t="s">
        <v>226</v>
      </c>
      <c r="F56" s="3" t="s">
        <v>121</v>
      </c>
      <c r="G56" s="3" t="s">
        <v>20</v>
      </c>
      <c r="H56" s="3" t="s">
        <v>29</v>
      </c>
    </row>
    <row r="57" spans="1:8" x14ac:dyDescent="0.25">
      <c r="A57" s="3" t="s">
        <v>129</v>
      </c>
      <c r="B57" s="3" t="s">
        <v>15</v>
      </c>
      <c r="C57" s="3" t="s">
        <v>227</v>
      </c>
      <c r="D57" s="3" t="s">
        <v>228</v>
      </c>
      <c r="E57" s="3" t="s">
        <v>145</v>
      </c>
      <c r="F57" s="3" t="s">
        <v>121</v>
      </c>
      <c r="G57" s="3" t="s">
        <v>20</v>
      </c>
      <c r="H57" s="3" t="s">
        <v>122</v>
      </c>
    </row>
    <row r="58" spans="1:8" x14ac:dyDescent="0.25">
      <c r="A58" s="3" t="s">
        <v>229</v>
      </c>
      <c r="B58" s="3" t="s">
        <v>15</v>
      </c>
      <c r="C58" s="3" t="s">
        <v>230</v>
      </c>
      <c r="D58" s="3" t="s">
        <v>231</v>
      </c>
      <c r="E58" s="3" t="s">
        <v>148</v>
      </c>
      <c r="F58" s="3" t="s">
        <v>121</v>
      </c>
      <c r="G58" s="3" t="s">
        <v>20</v>
      </c>
      <c r="H58" s="3" t="s">
        <v>158</v>
      </c>
    </row>
    <row r="59" spans="1:8" x14ac:dyDescent="0.25">
      <c r="A59" s="3" t="s">
        <v>229</v>
      </c>
      <c r="B59" s="3" t="s">
        <v>15</v>
      </c>
      <c r="C59" s="3" t="s">
        <v>230</v>
      </c>
      <c r="D59" s="3" t="s">
        <v>232</v>
      </c>
      <c r="E59" s="3" t="s">
        <v>233</v>
      </c>
      <c r="F59" s="3" t="s">
        <v>121</v>
      </c>
      <c r="G59" s="3" t="s">
        <v>20</v>
      </c>
      <c r="H59" s="3" t="s">
        <v>158</v>
      </c>
    </row>
    <row r="60" spans="1:8" x14ac:dyDescent="0.25">
      <c r="A60" s="3" t="s">
        <v>216</v>
      </c>
      <c r="B60" s="3" t="s">
        <v>15</v>
      </c>
      <c r="C60" s="3" t="s">
        <v>234</v>
      </c>
      <c r="D60" s="3" t="s">
        <v>235</v>
      </c>
      <c r="E60" s="3" t="s">
        <v>236</v>
      </c>
      <c r="F60" s="3" t="s">
        <v>121</v>
      </c>
      <c r="G60" s="3" t="s">
        <v>20</v>
      </c>
      <c r="H60" s="3" t="s">
        <v>220</v>
      </c>
    </row>
    <row r="61" spans="1:8" x14ac:dyDescent="0.25">
      <c r="A61" s="3" t="s">
        <v>146</v>
      </c>
      <c r="B61" s="3" t="s">
        <v>15</v>
      </c>
      <c r="C61" s="3" t="s">
        <v>237</v>
      </c>
      <c r="D61" s="3" t="s">
        <v>238</v>
      </c>
      <c r="E61" s="3" t="s">
        <v>148</v>
      </c>
      <c r="F61" s="3" t="s">
        <v>121</v>
      </c>
      <c r="G61" s="3" t="s">
        <v>20</v>
      </c>
      <c r="H61" s="3" t="s">
        <v>29</v>
      </c>
    </row>
    <row r="62" spans="1:8" x14ac:dyDescent="0.25">
      <c r="A62" s="3" t="s">
        <v>146</v>
      </c>
      <c r="B62" s="3" t="s">
        <v>15</v>
      </c>
      <c r="C62" s="3" t="s">
        <v>237</v>
      </c>
      <c r="D62" s="3" t="s">
        <v>239</v>
      </c>
      <c r="E62" s="3" t="s">
        <v>137</v>
      </c>
      <c r="F62" s="3" t="s">
        <v>121</v>
      </c>
      <c r="G62" s="3" t="s">
        <v>20</v>
      </c>
      <c r="H62" s="3" t="s">
        <v>29</v>
      </c>
    </row>
    <row r="63" spans="1:8" x14ac:dyDescent="0.25">
      <c r="A63" s="3" t="s">
        <v>223</v>
      </c>
      <c r="B63" s="3" t="s">
        <v>15</v>
      </c>
      <c r="C63" s="3" t="s">
        <v>240</v>
      </c>
      <c r="D63" s="3" t="s">
        <v>241</v>
      </c>
      <c r="E63" s="3" t="s">
        <v>148</v>
      </c>
      <c r="F63" s="3" t="s">
        <v>121</v>
      </c>
      <c r="G63" s="3" t="s">
        <v>20</v>
      </c>
      <c r="H63" s="3" t="s">
        <v>29</v>
      </c>
    </row>
    <row r="64" spans="1:8" x14ac:dyDescent="0.25">
      <c r="A64" s="3" t="s">
        <v>223</v>
      </c>
      <c r="B64" s="3" t="s">
        <v>15</v>
      </c>
      <c r="C64" s="3" t="s">
        <v>240</v>
      </c>
      <c r="D64" s="3" t="s">
        <v>242</v>
      </c>
      <c r="E64" s="3" t="s">
        <v>243</v>
      </c>
      <c r="F64" s="3" t="s">
        <v>121</v>
      </c>
      <c r="G64" s="3" t="s">
        <v>20</v>
      </c>
      <c r="H64" s="3" t="s">
        <v>29</v>
      </c>
    </row>
    <row r="65" spans="1:8" x14ac:dyDescent="0.25">
      <c r="A65" s="3" t="s">
        <v>223</v>
      </c>
      <c r="B65" s="3" t="s">
        <v>15</v>
      </c>
      <c r="C65" s="3" t="s">
        <v>244</v>
      </c>
      <c r="D65" s="3" t="s">
        <v>245</v>
      </c>
      <c r="E65" s="3" t="s">
        <v>148</v>
      </c>
      <c r="F65" s="3" t="s">
        <v>121</v>
      </c>
      <c r="G65" s="3" t="s">
        <v>20</v>
      </c>
      <c r="H65" s="3" t="s">
        <v>29</v>
      </c>
    </row>
    <row r="66" spans="1:8" x14ac:dyDescent="0.25">
      <c r="A66" s="3" t="s">
        <v>223</v>
      </c>
      <c r="B66" s="3" t="s">
        <v>15</v>
      </c>
      <c r="C66" s="3" t="s">
        <v>244</v>
      </c>
      <c r="D66" s="3" t="s">
        <v>246</v>
      </c>
      <c r="E66" s="3" t="s">
        <v>243</v>
      </c>
      <c r="F66" s="3" t="s">
        <v>121</v>
      </c>
      <c r="G66" s="3" t="s">
        <v>20</v>
      </c>
      <c r="H66" s="3" t="s">
        <v>29</v>
      </c>
    </row>
    <row r="67" spans="1:8" x14ac:dyDescent="0.25">
      <c r="A67" s="3" t="s">
        <v>146</v>
      </c>
      <c r="B67" s="3" t="s">
        <v>15</v>
      </c>
      <c r="C67" s="3" t="s">
        <v>247</v>
      </c>
      <c r="D67" s="3" t="s">
        <v>248</v>
      </c>
      <c r="E67" s="3" t="s">
        <v>148</v>
      </c>
      <c r="F67" s="3" t="s">
        <v>121</v>
      </c>
      <c r="G67" s="3" t="s">
        <v>20</v>
      </c>
      <c r="H67" s="3" t="s">
        <v>29</v>
      </c>
    </row>
    <row r="68" spans="1:8" x14ac:dyDescent="0.25">
      <c r="A68" s="3" t="s">
        <v>146</v>
      </c>
      <c r="B68" s="3" t="s">
        <v>15</v>
      </c>
      <c r="C68" s="3" t="s">
        <v>247</v>
      </c>
      <c r="D68" s="3" t="s">
        <v>249</v>
      </c>
      <c r="E68" s="3" t="s">
        <v>178</v>
      </c>
      <c r="F68" s="3" t="s">
        <v>121</v>
      </c>
      <c r="G68" s="3" t="s">
        <v>20</v>
      </c>
      <c r="H68" s="3" t="s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VOZ2</vt:lpstr>
      <vt:lpstr>VOZ</vt:lpstr>
      <vt:lpstr>IBM</vt:lpstr>
      <vt:lpstr>Hoja5</vt:lpstr>
      <vt:lpstr>Hoja8</vt:lpstr>
      <vt:lpstr>Hoja7</vt:lpstr>
      <vt:lpstr>FTD</vt:lpstr>
      <vt:lpstr>SMS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vboxuser</cp:lastModifiedBy>
  <dcterms:created xsi:type="dcterms:W3CDTF">2026-01-22T13:14:19Z</dcterms:created>
  <dcterms:modified xsi:type="dcterms:W3CDTF">2026-01-22T18:24:50Z</dcterms:modified>
</cp:coreProperties>
</file>